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СВШ" sheetId="2" r:id="rId1"/>
  </sheets>
  <definedNames>
    <definedName name="_xlnm.Print_Area" localSheetId="0">СВШ!$A$1:$K$24</definedName>
  </definedNames>
  <calcPr calcId="152511" calcOnSave="0"/>
</workbook>
</file>

<file path=xl/calcChain.xml><?xml version="1.0" encoding="utf-8"?>
<calcChain xmlns="http://schemas.openxmlformats.org/spreadsheetml/2006/main">
  <c r="J26" i="2"/>
  <c r="K26"/>
  <c r="C26"/>
  <c r="D26"/>
  <c r="E26"/>
  <c r="F26"/>
  <c r="G26"/>
  <c r="H26"/>
  <c r="I26"/>
</calcChain>
</file>

<file path=xl/sharedStrings.xml><?xml version="1.0" encoding="utf-8"?>
<sst xmlns="http://schemas.openxmlformats.org/spreadsheetml/2006/main" count="29" uniqueCount="29">
  <si>
    <t>Октябрь</t>
  </si>
  <si>
    <t>Ноябрь</t>
  </si>
  <si>
    <t>Декабрь</t>
  </si>
  <si>
    <t>Спецнадбавка</t>
  </si>
  <si>
    <t>ООО "Газпром межрегионгаз Саранск"</t>
  </si>
  <si>
    <t>Снаб.-сбыт.услуги</t>
  </si>
  <si>
    <t>Газ сверх нормы</t>
  </si>
  <si>
    <t>Транспортировка в пределах нормы</t>
  </si>
  <si>
    <t>в т.ч.   Газ в пределах нормы</t>
  </si>
  <si>
    <t>Транспортировка сверх нормы</t>
  </si>
  <si>
    <t>Количество (объем), всего;</t>
  </si>
  <si>
    <t xml:space="preserve">                                      - в пределах нормы</t>
  </si>
  <si>
    <t xml:space="preserve">                                      - сверх нормы</t>
  </si>
  <si>
    <t>Средний тариф (без НДС), всего:</t>
  </si>
  <si>
    <t>Стоимость (без НДС)</t>
  </si>
  <si>
    <t>Стоимость, с НДС</t>
  </si>
  <si>
    <t>Январь</t>
  </si>
  <si>
    <t>Февраль</t>
  </si>
  <si>
    <t>По счет-фактурам Поставщика</t>
  </si>
  <si>
    <t>Мастерские СТО (Котельная), ш.Северо-Восточное, 12</t>
  </si>
  <si>
    <t>ООО "Радъмир"</t>
  </si>
  <si>
    <t>Договор поставки газа №31-5-10770/24-27/ДП от 26.04.2024г.</t>
  </si>
  <si>
    <t>Годовой объем поставки газа (п.2.1.1.)</t>
  </si>
  <si>
    <t>тыс.м.куб.</t>
  </si>
  <si>
    <t>Март</t>
  </si>
  <si>
    <t>Апрель</t>
  </si>
  <si>
    <t>в т.ч.</t>
  </si>
  <si>
    <t>2025г</t>
  </si>
  <si>
    <t>ИТОГО                      ОЗП</t>
  </si>
</sst>
</file>

<file path=xl/styles.xml><?xml version="1.0" encoding="utf-8"?>
<styleSheet xmlns="http://schemas.openxmlformats.org/spreadsheetml/2006/main">
  <numFmts count="1">
    <numFmt numFmtId="164" formatCode="#,##0.000"/>
  </numFmts>
  <fonts count="7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i/>
      <u/>
      <sz val="11"/>
      <color indexed="8"/>
      <name val="Calibri"/>
      <family val="2"/>
      <charset val="204"/>
    </font>
    <font>
      <b/>
      <u/>
      <sz val="11"/>
      <color indexed="8"/>
      <name val="Calibri"/>
      <family val="2"/>
      <charset val="204"/>
    </font>
    <font>
      <u/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indent="4"/>
    </xf>
    <xf numFmtId="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4" fontId="5" fillId="0" borderId="0" xfId="0" applyNumberFormat="1" applyFont="1"/>
    <xf numFmtId="0" fontId="3" fillId="0" borderId="0" xfId="0" applyFont="1" applyAlignment="1">
      <alignment horizontal="center"/>
    </xf>
    <xf numFmtId="4" fontId="3" fillId="0" borderId="0" xfId="0" applyNumberFormat="1" applyFont="1"/>
    <xf numFmtId="164" fontId="3" fillId="0" borderId="1" xfId="0" applyNumberFormat="1" applyFont="1" applyBorder="1"/>
    <xf numFmtId="0" fontId="2" fillId="0" borderId="0" xfId="0" applyFont="1"/>
    <xf numFmtId="0" fontId="0" fillId="0" borderId="1" xfId="0" applyBorder="1"/>
    <xf numFmtId="164" fontId="3" fillId="0" borderId="0" xfId="0" applyNumberFormat="1" applyFont="1" applyBorder="1"/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Fill="1" applyBorder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" fontId="6" fillId="0" borderId="0" xfId="0" applyNumberFormat="1" applyFont="1"/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6"/>
  <sheetViews>
    <sheetView tabSelected="1" workbookViewId="0">
      <selection activeCell="J26" sqref="J26"/>
    </sheetView>
  </sheetViews>
  <sheetFormatPr defaultRowHeight="15"/>
  <cols>
    <col min="1" max="1" width="37.85546875" customWidth="1"/>
    <col min="2" max="2" width="8" hidden="1" customWidth="1"/>
    <col min="3" max="6" width="10" bestFit="1" customWidth="1"/>
    <col min="7" max="8" width="10.140625" bestFit="1" customWidth="1"/>
    <col min="9" max="9" width="10.140625" customWidth="1"/>
    <col min="10" max="11" width="11.42578125" style="3" bestFit="1" customWidth="1"/>
  </cols>
  <sheetData>
    <row r="1" spans="1:11" s="3" customFormat="1">
      <c r="A1" s="3" t="s">
        <v>4</v>
      </c>
    </row>
    <row r="2" spans="1:11" s="5" customFormat="1" ht="15" customHeight="1">
      <c r="A2" s="10"/>
      <c r="C2" s="12"/>
      <c r="D2" s="8"/>
      <c r="E2" s="6"/>
      <c r="J2" s="20" t="s">
        <v>28</v>
      </c>
      <c r="K2" s="14" t="s">
        <v>26</v>
      </c>
    </row>
    <row r="3" spans="1:11" s="7" customFormat="1">
      <c r="C3" s="13" t="s">
        <v>0</v>
      </c>
      <c r="D3" s="13" t="s">
        <v>1</v>
      </c>
      <c r="E3" s="13" t="s">
        <v>2</v>
      </c>
      <c r="F3" s="13" t="s">
        <v>16</v>
      </c>
      <c r="G3" s="13" t="s">
        <v>17</v>
      </c>
      <c r="H3" s="13" t="s">
        <v>24</v>
      </c>
      <c r="I3" s="17" t="s">
        <v>25</v>
      </c>
      <c r="J3" s="21"/>
      <c r="K3" s="18" t="s">
        <v>27</v>
      </c>
    </row>
    <row r="4" spans="1:11" s="5" customFormat="1">
      <c r="A4" s="3" t="s">
        <v>20</v>
      </c>
      <c r="C4" s="6"/>
      <c r="D4" s="6"/>
      <c r="E4" s="6"/>
    </row>
    <row r="5" spans="1:11" s="5" customFormat="1">
      <c r="A5" s="3" t="s">
        <v>21</v>
      </c>
      <c r="C5" s="6"/>
      <c r="D5" s="6"/>
      <c r="E5" s="6"/>
    </row>
    <row r="6" spans="1:11" s="5" customFormat="1">
      <c r="A6" s="10" t="s">
        <v>22</v>
      </c>
      <c r="C6" s="9">
        <v>258</v>
      </c>
      <c r="D6" s="8" t="s">
        <v>23</v>
      </c>
      <c r="E6" s="6"/>
    </row>
    <row r="7" spans="1:11">
      <c r="A7" s="4" t="s">
        <v>19</v>
      </c>
    </row>
    <row r="8" spans="1:11">
      <c r="A8" s="3" t="s">
        <v>18</v>
      </c>
    </row>
    <row r="9" spans="1:11">
      <c r="A9" t="s">
        <v>10</v>
      </c>
      <c r="C9" s="11">
        <v>18.937000000000001</v>
      </c>
      <c r="D9" s="11">
        <v>34.884999999999998</v>
      </c>
      <c r="E9" s="11">
        <v>40.445</v>
      </c>
      <c r="F9" s="11">
        <v>44.99</v>
      </c>
      <c r="G9" s="11">
        <v>44.960999999999999</v>
      </c>
      <c r="H9" s="11">
        <v>32.218000000000004</v>
      </c>
      <c r="I9" s="11">
        <v>14.428000000000001</v>
      </c>
      <c r="J9" s="15">
        <v>216.43600000000004</v>
      </c>
      <c r="K9" s="15">
        <v>136.59700000000001</v>
      </c>
    </row>
    <row r="10" spans="1:11">
      <c r="A10" t="s">
        <v>11</v>
      </c>
      <c r="C10" s="11">
        <v>16</v>
      </c>
      <c r="D10" s="11">
        <v>34.884999999999998</v>
      </c>
      <c r="E10" s="11">
        <v>40.445</v>
      </c>
      <c r="F10" s="11">
        <v>44.99</v>
      </c>
      <c r="G10" s="11">
        <v>44.960999999999999</v>
      </c>
      <c r="H10" s="11">
        <v>32.218000000000004</v>
      </c>
      <c r="I10" s="11">
        <v>14.428000000000001</v>
      </c>
      <c r="J10" s="16">
        <v>213.49900000000002</v>
      </c>
      <c r="K10" s="15">
        <v>136.59700000000001</v>
      </c>
    </row>
    <row r="11" spans="1:11">
      <c r="C11" s="11"/>
      <c r="D11" s="11"/>
      <c r="E11" s="11"/>
      <c r="F11" s="11"/>
      <c r="G11" s="11"/>
      <c r="H11" s="11"/>
      <c r="I11" s="11">
        <v>6.2130000000000001</v>
      </c>
      <c r="J11" s="16"/>
      <c r="K11" s="15"/>
    </row>
    <row r="12" spans="1:11">
      <c r="C12" s="11"/>
      <c r="D12" s="11"/>
      <c r="E12" s="11"/>
      <c r="F12" s="11"/>
      <c r="G12" s="11"/>
      <c r="H12" s="11"/>
      <c r="I12" s="11">
        <v>8.2149999999999999</v>
      </c>
      <c r="J12" s="16"/>
      <c r="K12" s="15"/>
    </row>
    <row r="13" spans="1:11">
      <c r="A13" t="s">
        <v>12</v>
      </c>
      <c r="C13" s="11">
        <v>2.9369999999999998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6">
        <v>2.9369999999999998</v>
      </c>
      <c r="K13" s="15">
        <v>0</v>
      </c>
    </row>
    <row r="14" spans="1:11" ht="7.15" customHeight="1">
      <c r="C14" s="2"/>
      <c r="D14" s="2"/>
      <c r="E14" s="2"/>
    </row>
    <row r="15" spans="1:11">
      <c r="A15" t="s">
        <v>13</v>
      </c>
      <c r="C15" s="2">
        <v>9178.2375120135184</v>
      </c>
      <c r="D15" s="2">
        <v>8482.8100000000013</v>
      </c>
      <c r="E15" s="2">
        <v>8509.5</v>
      </c>
      <c r="F15" s="2">
        <v>8503.3200000000015</v>
      </c>
      <c r="G15" s="2">
        <v>8549.2000000000007</v>
      </c>
      <c r="H15" s="2">
        <v>8504.99</v>
      </c>
      <c r="I15" s="2">
        <v>8540.1040456057654</v>
      </c>
    </row>
    <row r="16" spans="1:11">
      <c r="A16" t="s">
        <v>8</v>
      </c>
      <c r="C16" s="2">
        <v>6982.67</v>
      </c>
      <c r="D16" s="2">
        <v>6927.62</v>
      </c>
      <c r="E16" s="2">
        <v>6954.31</v>
      </c>
      <c r="F16" s="2">
        <v>6937.63</v>
      </c>
      <c r="G16" s="2">
        <v>6983.51</v>
      </c>
      <c r="H16" s="2">
        <v>6939.3</v>
      </c>
      <c r="I16" s="2">
        <v>6965.16</v>
      </c>
    </row>
    <row r="17" spans="1:11">
      <c r="A17" s="1" t="s">
        <v>6</v>
      </c>
      <c r="C17" s="2">
        <v>10474.005000000001</v>
      </c>
      <c r="D17" s="2">
        <v>10391.43</v>
      </c>
      <c r="E17" s="2">
        <v>10431.465</v>
      </c>
      <c r="F17" s="2">
        <v>10406.445</v>
      </c>
      <c r="G17" s="2">
        <v>10475.264999999999</v>
      </c>
      <c r="H17" s="2">
        <v>10408.950000000001</v>
      </c>
      <c r="I17" s="2">
        <v>10447.74</v>
      </c>
    </row>
    <row r="18" spans="1:11">
      <c r="A18" s="1" t="s">
        <v>7</v>
      </c>
      <c r="C18" s="2">
        <v>1275.3</v>
      </c>
      <c r="D18" s="2">
        <v>1275.3</v>
      </c>
      <c r="E18" s="2">
        <v>1275.3</v>
      </c>
      <c r="F18" s="2">
        <v>1275.3</v>
      </c>
      <c r="G18" s="2">
        <v>1275.3</v>
      </c>
      <c r="H18" s="2">
        <v>1275.3</v>
      </c>
      <c r="I18" s="2">
        <v>1275.3</v>
      </c>
    </row>
    <row r="19" spans="1:11">
      <c r="A19" s="1" t="s">
        <v>9</v>
      </c>
      <c r="C19" s="2">
        <v>1912.9499999999998</v>
      </c>
      <c r="D19" s="2">
        <v>1912.9499999999998</v>
      </c>
      <c r="E19" s="2">
        <v>1912.9499999999998</v>
      </c>
      <c r="F19" s="2">
        <v>1912.9499999999998</v>
      </c>
      <c r="G19" s="2">
        <v>1912.9499999999998</v>
      </c>
      <c r="H19" s="2">
        <v>1912.9499999999998</v>
      </c>
      <c r="I19" s="2">
        <v>1912.9499999999998</v>
      </c>
    </row>
    <row r="20" spans="1:11">
      <c r="A20" s="1" t="s">
        <v>5</v>
      </c>
      <c r="C20" s="2">
        <v>129.88999999999999</v>
      </c>
      <c r="D20" s="2">
        <v>129.88999999999999</v>
      </c>
      <c r="E20" s="2">
        <v>129.88999999999999</v>
      </c>
      <c r="F20" s="2">
        <v>129.88999999999999</v>
      </c>
      <c r="G20" s="2">
        <v>129.88999999999999</v>
      </c>
      <c r="H20" s="2">
        <v>129.88999999999999</v>
      </c>
      <c r="I20" s="2">
        <v>129.88999999999999</v>
      </c>
    </row>
    <row r="21" spans="1:11">
      <c r="A21" s="1"/>
      <c r="C21" s="2"/>
      <c r="D21" s="2"/>
      <c r="E21" s="2"/>
      <c r="F21" s="2"/>
      <c r="G21" s="2"/>
      <c r="H21" s="2"/>
      <c r="I21" s="2">
        <v>151.38</v>
      </c>
    </row>
    <row r="22" spans="1:11">
      <c r="A22" s="1" t="s">
        <v>3</v>
      </c>
      <c r="C22" s="2">
        <v>150</v>
      </c>
      <c r="D22" s="2">
        <v>150</v>
      </c>
      <c r="E22" s="2">
        <v>150</v>
      </c>
      <c r="F22" s="2">
        <v>160.5</v>
      </c>
      <c r="G22" s="2">
        <v>160.5</v>
      </c>
      <c r="H22" s="2">
        <v>160.5</v>
      </c>
      <c r="I22" s="2">
        <v>160.5</v>
      </c>
    </row>
    <row r="23" spans="1:11">
      <c r="A23" t="s">
        <v>14</v>
      </c>
      <c r="C23" s="19">
        <v>173808.283765</v>
      </c>
      <c r="D23" s="19">
        <v>295922.82685000001</v>
      </c>
      <c r="E23" s="19">
        <v>344166.72749999998</v>
      </c>
      <c r="F23" s="19">
        <v>382564.36680000008</v>
      </c>
      <c r="G23" s="19">
        <v>384380.58120000002</v>
      </c>
      <c r="H23" s="19">
        <v>274013.76782000001</v>
      </c>
      <c r="I23" s="19">
        <v>123216.62117</v>
      </c>
      <c r="J23" s="19">
        <v>1978073.1751049999</v>
      </c>
      <c r="K23" s="19">
        <v>1164175.33699</v>
      </c>
    </row>
    <row r="24" spans="1:11" s="5" customFormat="1">
      <c r="A24" s="3" t="s">
        <v>15</v>
      </c>
      <c r="C24" s="8">
        <v>208569.94051799999</v>
      </c>
      <c r="D24" s="8">
        <v>355107.39221999998</v>
      </c>
      <c r="E24" s="8">
        <v>413000.07299999997</v>
      </c>
      <c r="F24" s="8">
        <v>459077.2401600001</v>
      </c>
      <c r="G24" s="8">
        <v>461256.69744000002</v>
      </c>
      <c r="H24" s="8">
        <v>328816.52138400002</v>
      </c>
      <c r="I24" s="8">
        <v>147859.945404</v>
      </c>
      <c r="J24" s="8">
        <v>2373687.8101260001</v>
      </c>
      <c r="K24" s="8">
        <v>1397010.4043880003</v>
      </c>
    </row>
    <row r="26" spans="1:11">
      <c r="C26">
        <f t="shared" ref="C26:H26" si="0">C24/C9</f>
        <v>11013.885014416221</v>
      </c>
      <c r="D26">
        <f t="shared" si="0"/>
        <v>10179.371999999999</v>
      </c>
      <c r="E26">
        <f t="shared" si="0"/>
        <v>10211.4</v>
      </c>
      <c r="F26">
        <f t="shared" si="0"/>
        <v>10203.984000000002</v>
      </c>
      <c r="G26">
        <f t="shared" si="0"/>
        <v>10259.040000000001</v>
      </c>
      <c r="H26">
        <f t="shared" si="0"/>
        <v>10205.987999999999</v>
      </c>
      <c r="I26">
        <f>I24/I9</f>
        <v>10248.124854726919</v>
      </c>
      <c r="J26">
        <f>J24/J9</f>
        <v>10967.158005719933</v>
      </c>
      <c r="K26">
        <f>K24/K9</f>
        <v>10227.240747512758</v>
      </c>
    </row>
  </sheetData>
  <mergeCells count="1">
    <mergeCell ref="J2:J3"/>
  </mergeCells>
  <phoneticPr fontId="0" type="noConversion"/>
  <pageMargins left="0.78740157480314965" right="0.39370078740157483" top="0.59055118110236227" bottom="0.39370078740157483" header="0.31496062992125984" footer="0.31496062992125984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СВШ</vt:lpstr>
      <vt:lpstr>СВШ!Область_печати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2025-10-31T10:05:42Z</dcterms:modified>
</cp:coreProperties>
</file>