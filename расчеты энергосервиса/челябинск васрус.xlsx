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9140" windowHeight="12210"/>
  </bookViews>
  <sheets>
    <sheet name="Report" sheetId="1" r:id="rId1"/>
  </sheets>
  <calcPr calcId="114210" calcOnSave="0" concurrentCalc="0"/>
</workbook>
</file>

<file path=xl/calcChain.xml><?xml version="1.0" encoding="utf-8"?>
<calcChain xmlns="http://schemas.openxmlformats.org/spreadsheetml/2006/main">
  <c r="D4" i="1"/>
  <c r="D7"/>
  <c r="D10"/>
  <c r="D13"/>
  <c r="D15"/>
</calcChain>
</file>

<file path=xl/sharedStrings.xml><?xml version="1.0" encoding="utf-8"?>
<sst xmlns="http://schemas.openxmlformats.org/spreadsheetml/2006/main" count="15" uniqueCount="15">
  <si>
    <t>выплата подрядчику</t>
  </si>
  <si>
    <t>обслуживание ГПУ</t>
  </si>
  <si>
    <t xml:space="preserve">выплата инвестору </t>
  </si>
  <si>
    <t>1,4р Х кВтЧ</t>
  </si>
  <si>
    <t>за 2й блок(из разницы по тарифу)</t>
  </si>
  <si>
    <t>итого ДОходы</t>
  </si>
  <si>
    <t>итого РАСходы</t>
  </si>
  <si>
    <t>доход от ээ</t>
  </si>
  <si>
    <t>план РАсходов на челябинск 750кВт</t>
  </si>
  <si>
    <t>план ДОходов на челябинск 750кВт</t>
  </si>
  <si>
    <t>мощность</t>
  </si>
  <si>
    <t>КИУМ</t>
  </si>
  <si>
    <t>тариф на ээ</t>
  </si>
  <si>
    <t>по КИУМ и тарифу за кВтЧ</t>
  </si>
  <si>
    <t>ДОПдоход</t>
  </si>
</sst>
</file>

<file path=xl/styles.xml><?xml version="1.0" encoding="utf-8"?>
<styleSheet xmlns="http://schemas.openxmlformats.org/spreadsheetml/2006/main">
  <numFmts count="4">
    <numFmt numFmtId="43" formatCode="_-* #,##0.00\ _₽_-;\-* #,##0.00\ _₽_-;_-* &quot;-&quot;??\ _₽_-;_-@_-"/>
    <numFmt numFmtId="165" formatCode="_-* #,##0.000\ _₽_-;\-* #,##0.000\ _₽_-;_-* &quot;-&quot;??\ _₽_-;_-@_-"/>
    <numFmt numFmtId="171" formatCode="#,##0\ &quot;₽&quot;"/>
    <numFmt numFmtId="174" formatCode="#,##0.0\ &quot;₽&quot;"/>
  </numFmts>
  <fonts count="5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  <font>
      <b/>
      <sz val="11"/>
      <color indexed="56"/>
      <name val="Calibri"/>
      <family val="2"/>
      <charset val="204"/>
    </font>
    <font>
      <b/>
      <i/>
      <sz val="11"/>
      <color indexed="57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65" fontId="0" fillId="0" borderId="0" xfId="1" applyNumberFormat="1" applyFont="1"/>
    <xf numFmtId="171" fontId="0" fillId="0" borderId="1" xfId="0" applyNumberFormat="1" applyBorder="1"/>
    <xf numFmtId="165" fontId="0" fillId="0" borderId="1" xfId="1" applyNumberFormat="1" applyFont="1" applyBorder="1"/>
    <xf numFmtId="0" fontId="0" fillId="0" borderId="1" xfId="0" applyBorder="1"/>
    <xf numFmtId="171" fontId="0" fillId="0" borderId="2" xfId="0" applyNumberFormat="1" applyBorder="1"/>
    <xf numFmtId="165" fontId="0" fillId="0" borderId="3" xfId="1" applyNumberFormat="1" applyFont="1" applyBorder="1"/>
    <xf numFmtId="171" fontId="3" fillId="0" borderId="1" xfId="0" applyNumberFormat="1" applyFont="1" applyBorder="1"/>
    <xf numFmtId="165" fontId="4" fillId="0" borderId="0" xfId="1" applyNumberFormat="1" applyFont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0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165" fontId="0" fillId="0" borderId="0" xfId="1" applyNumberFormat="1" applyFont="1" applyBorder="1"/>
    <xf numFmtId="0" fontId="0" fillId="0" borderId="7" xfId="0" applyBorder="1"/>
    <xf numFmtId="0" fontId="0" fillId="0" borderId="8" xfId="0" applyBorder="1"/>
    <xf numFmtId="9" fontId="0" fillId="0" borderId="9" xfId="0" applyNumberFormat="1" applyBorder="1"/>
    <xf numFmtId="174" fontId="0" fillId="0" borderId="10" xfId="0" applyNumberFormat="1" applyBorder="1"/>
    <xf numFmtId="171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>
      <selection activeCell="G12" sqref="G12"/>
    </sheetView>
  </sheetViews>
  <sheetFormatPr defaultRowHeight="15"/>
  <cols>
    <col min="1" max="1" width="5.28515625" style="1" customWidth="1"/>
    <col min="2" max="2" width="22.42578125" style="1" customWidth="1"/>
    <col min="3" max="3" width="30.85546875" customWidth="1"/>
    <col min="4" max="4" width="18.28515625" customWidth="1"/>
    <col min="5" max="5" width="4.7109375" customWidth="1"/>
    <col min="6" max="6" width="18.5703125" customWidth="1"/>
    <col min="7" max="7" width="11" customWidth="1"/>
    <col min="8" max="8" width="4.7109375" customWidth="1"/>
  </cols>
  <sheetData>
    <row r="1" spans="1:7" s="11" customFormat="1" ht="15.75" thickBot="1">
      <c r="A1" s="15"/>
      <c r="B1" s="15"/>
    </row>
    <row r="2" spans="1:7" ht="15.75" thickBot="1">
      <c r="D2" s="12" t="s">
        <v>10</v>
      </c>
      <c r="E2" s="13"/>
      <c r="F2" s="14">
        <v>600</v>
      </c>
    </row>
    <row r="3" spans="1:7">
      <c r="B3" s="8" t="s">
        <v>8</v>
      </c>
    </row>
    <row r="4" spans="1:7">
      <c r="B4" s="6" t="s">
        <v>1</v>
      </c>
      <c r="C4" s="9" t="s">
        <v>3</v>
      </c>
      <c r="D4" s="5">
        <f>F2*24*30*1.4</f>
        <v>604800</v>
      </c>
    </row>
    <row r="5" spans="1:7">
      <c r="B5" s="3" t="s">
        <v>2</v>
      </c>
      <c r="C5" s="10" t="s">
        <v>4</v>
      </c>
      <c r="D5" s="2">
        <v>300000</v>
      </c>
    </row>
    <row r="6" spans="1:7">
      <c r="B6" s="3" t="s">
        <v>0</v>
      </c>
      <c r="C6" s="4"/>
      <c r="D6" s="2">
        <v>240000</v>
      </c>
    </row>
    <row r="7" spans="1:7">
      <c r="C7" s="3" t="s">
        <v>6</v>
      </c>
      <c r="D7" s="7">
        <f>SUM(D4:D6)</f>
        <v>1144800</v>
      </c>
    </row>
    <row r="9" spans="1:7" ht="15.75" thickBot="1">
      <c r="B9" s="8" t="s">
        <v>9</v>
      </c>
    </row>
    <row r="10" spans="1:7">
      <c r="B10" s="3" t="s">
        <v>7</v>
      </c>
      <c r="C10" s="10" t="s">
        <v>13</v>
      </c>
      <c r="D10" s="2">
        <f>F2*G10*30*24*G11</f>
        <v>1382400</v>
      </c>
      <c r="F10" s="16" t="s">
        <v>11</v>
      </c>
      <c r="G10" s="18">
        <v>0.8</v>
      </c>
    </row>
    <row r="11" spans="1:7" ht="15.75" thickBot="1">
      <c r="B11" s="3"/>
      <c r="C11" s="4"/>
      <c r="D11" s="2"/>
      <c r="F11" s="17" t="s">
        <v>12</v>
      </c>
      <c r="G11" s="19">
        <v>4</v>
      </c>
    </row>
    <row r="12" spans="1:7">
      <c r="B12" s="3"/>
      <c r="C12" s="4"/>
      <c r="D12" s="2"/>
    </row>
    <row r="13" spans="1:7">
      <c r="C13" s="3" t="s">
        <v>5</v>
      </c>
      <c r="D13" s="7">
        <f>SUM(D10:D12)</f>
        <v>1382400</v>
      </c>
    </row>
    <row r="15" spans="1:7">
      <c r="B15" s="1" t="s">
        <v>14</v>
      </c>
      <c r="D15" s="20">
        <f>D13-D7</f>
        <v>237600</v>
      </c>
    </row>
  </sheetData>
  <phoneticPr fontId="2" type="noConversion"/>
  <pageMargins left="0.97916668653488159" right="0.3958333432674408" top="0.3958333432674408" bottom="0.3958333432674408" header="0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2025-07-09T13:18:12Z</dcterms:created>
  <dcterms:modified xsi:type="dcterms:W3CDTF">2025-08-27T12:31:44Z</dcterms:modified>
</cp:coreProperties>
</file>