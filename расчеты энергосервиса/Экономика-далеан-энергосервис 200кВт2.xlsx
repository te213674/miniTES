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120" yWindow="-120" windowWidth="19440" windowHeight="11160"/>
  </bookViews>
  <sheets>
    <sheet name="гпу" sheetId="1" r:id="rId1"/>
    <sheet name="Лист3" sheetId="3" r:id="rId2"/>
  </sheets>
  <calcPr calcId="114210"/>
</workbook>
</file>

<file path=xl/calcChain.xml><?xml version="1.0" encoding="utf-8"?>
<calcChain xmlns="http://schemas.openxmlformats.org/spreadsheetml/2006/main">
  <c r="I36" i="1"/>
  <c r="J36"/>
  <c r="I37"/>
  <c r="J37"/>
  <c r="I38"/>
  <c r="J38"/>
  <c r="I40"/>
  <c r="J40"/>
  <c r="L47"/>
  <c r="L46"/>
  <c r="D55"/>
  <c r="D22"/>
  <c r="E22"/>
  <c r="F22"/>
  <c r="G22"/>
  <c r="H22"/>
  <c r="I22"/>
  <c r="J22"/>
  <c r="K22"/>
  <c r="D28"/>
  <c r="E28"/>
  <c r="F28"/>
  <c r="G28"/>
  <c r="H28"/>
  <c r="I28"/>
  <c r="J23"/>
  <c r="J28"/>
  <c r="K23"/>
  <c r="J24"/>
  <c r="K24"/>
  <c r="D29"/>
  <c r="E29"/>
  <c r="F29"/>
  <c r="G29"/>
  <c r="H29"/>
  <c r="I29"/>
  <c r="J29"/>
  <c r="D30"/>
  <c r="E30"/>
  <c r="F30"/>
  <c r="G30"/>
  <c r="H30"/>
  <c r="I30"/>
  <c r="J30"/>
  <c r="D49"/>
  <c r="D37"/>
  <c r="E37"/>
  <c r="F37"/>
  <c r="G37"/>
  <c r="H37"/>
  <c r="K37"/>
  <c r="E23"/>
  <c r="E24"/>
  <c r="F23"/>
  <c r="F24"/>
  <c r="G23"/>
  <c r="G24"/>
  <c r="H23"/>
  <c r="H24"/>
  <c r="I23"/>
  <c r="I24"/>
  <c r="L24"/>
  <c r="L44"/>
  <c r="D36"/>
  <c r="E36"/>
  <c r="F36"/>
  <c r="G36"/>
  <c r="H36"/>
  <c r="K36"/>
  <c r="L49"/>
  <c r="L50"/>
  <c r="D23"/>
  <c r="D40"/>
  <c r="L45"/>
  <c r="J14"/>
  <c r="E40"/>
  <c r="K39"/>
  <c r="E38"/>
  <c r="F38"/>
  <c r="G14"/>
  <c r="F40"/>
  <c r="G38"/>
  <c r="G40"/>
  <c r="H38"/>
  <c r="L23"/>
  <c r="H40"/>
  <c r="K40"/>
  <c r="L22"/>
  <c r="K30"/>
  <c r="L52"/>
  <c r="L51"/>
  <c r="L48"/>
</calcChain>
</file>

<file path=xl/sharedStrings.xml><?xml version="1.0" encoding="utf-8"?>
<sst xmlns="http://schemas.openxmlformats.org/spreadsheetml/2006/main" count="102" uniqueCount="56">
  <si>
    <t>Исходные данные</t>
  </si>
  <si>
    <t>№</t>
  </si>
  <si>
    <t>Наименование</t>
  </si>
  <si>
    <t>Ед. изм.</t>
  </si>
  <si>
    <t>кВт</t>
  </si>
  <si>
    <t>Расходная часть</t>
  </si>
  <si>
    <t>м3</t>
  </si>
  <si>
    <t>Выработка</t>
  </si>
  <si>
    <t>Итого</t>
  </si>
  <si>
    <t>Тариф ЭЭ от РСО</t>
  </si>
  <si>
    <t>%</t>
  </si>
  <si>
    <t>часы</t>
  </si>
  <si>
    <t>Данные</t>
  </si>
  <si>
    <t>Тарифы РСО с индексацией 5% ежегодно</t>
  </si>
  <si>
    <t>Стоимость ГПУ</t>
  </si>
  <si>
    <t>Показатели экономии для Заказчика</t>
  </si>
  <si>
    <t>Загрузка ГПУ</t>
  </si>
  <si>
    <t>Число моточасов работы в год</t>
  </si>
  <si>
    <t>Стоимость обслуживания ГПУ</t>
  </si>
  <si>
    <t>Цена ТЭ по ценам РСО, в год</t>
  </si>
  <si>
    <t>Цена ЭЭ по ценам РСО, в год</t>
  </si>
  <si>
    <t>кВт(Гкал)</t>
  </si>
  <si>
    <t>Арендный платеж за 1 год</t>
  </si>
  <si>
    <t>года</t>
  </si>
  <si>
    <t xml:space="preserve">                                 Исходные данные</t>
  </si>
  <si>
    <t>Инвестор</t>
  </si>
  <si>
    <t>V потребления ЭЭ от РСО  в год</t>
  </si>
  <si>
    <t>Затраты на угар масла в год</t>
  </si>
  <si>
    <t>V потребления газа для котпельной,  в год</t>
  </si>
  <si>
    <t>Тариф на газ от РСО</t>
  </si>
  <si>
    <t xml:space="preserve">Экономия Заказчика за 1 год </t>
  </si>
  <si>
    <t>% экономии заказчику</t>
  </si>
  <si>
    <t>Затраты на ЭЭ за 1 год по тарифу РСО</t>
  </si>
  <si>
    <t xml:space="preserve">ПИР </t>
  </si>
  <si>
    <t>₽ с НДС</t>
  </si>
  <si>
    <t>Итого, ₽ с НДС</t>
  </si>
  <si>
    <t>Удельный расход газа на 1 кВтЧ</t>
  </si>
  <si>
    <t>Удельная цена обслуживания ГПУ за 1 кВтЧ</t>
  </si>
  <si>
    <t>кВтЧ</t>
  </si>
  <si>
    <t>V выработанной ЭЭ</t>
  </si>
  <si>
    <t>Стоимость выработанной по тарифу РСО ЭЭ</t>
  </si>
  <si>
    <t>Тариф на ЭЭ за 1  кВтЧ</t>
  </si>
  <si>
    <t>Тариф на газ м3</t>
  </si>
  <si>
    <t>Потребление газа</t>
  </si>
  <si>
    <t>Стоимость потребленного газа</t>
  </si>
  <si>
    <t>Иное (стрпоительные работы и ПНР)</t>
  </si>
  <si>
    <t>газопровод</t>
  </si>
  <si>
    <t>Обслуживание(?)</t>
  </si>
  <si>
    <r>
      <t xml:space="preserve">ЭЭ мощность </t>
    </r>
    <r>
      <rPr>
        <i/>
        <sz val="10"/>
        <color indexed="8"/>
        <rFont val="Calibri"/>
        <family val="2"/>
        <charset val="204"/>
      </rPr>
      <t>установленная(УМ)</t>
    </r>
  </si>
  <si>
    <t>Затраты на ЭЭ за 7 лет по тарифу РСО</t>
  </si>
  <si>
    <t>Арендный платеж за 7 лет</t>
  </si>
  <si>
    <t>Экономия Заказчика за 7 лет</t>
  </si>
  <si>
    <t>платеж инвестору в месяц</t>
  </si>
  <si>
    <t>платеж инвестору в год</t>
  </si>
  <si>
    <r>
      <t>далеан 2</t>
    </r>
    <r>
      <rPr>
        <b/>
        <sz val="14"/>
        <color indexed="14"/>
        <rFont val="Calibri"/>
        <family val="2"/>
        <charset val="204"/>
      </rPr>
      <t>00кВтХ2</t>
    </r>
  </si>
  <si>
    <t>Стоимость мероприятий GazEcos</t>
  </si>
</sst>
</file>

<file path=xl/styles.xml><?xml version="1.0" encoding="utf-8"?>
<styleSheet xmlns="http://schemas.openxmlformats.org/spreadsheetml/2006/main">
  <numFmts count="7">
    <numFmt numFmtId="43" formatCode="_-* #,##0.00\ _₽_-;\-* #,##0.00\ _₽_-;_-* &quot;-&quot;??\ _₽_-;_-@_-"/>
    <numFmt numFmtId="164" formatCode="0;[Red]0"/>
    <numFmt numFmtId="165" formatCode="_-* #,##0\ _₽_-;\-* #,##0\ _₽_-;_-* &quot;-&quot;??\ _₽_-;_-@_-"/>
    <numFmt numFmtId="166" formatCode="#,##0.00\ &quot;₽&quot;"/>
    <numFmt numFmtId="167" formatCode="#,##0.0\ &quot;₽&quot;"/>
    <numFmt numFmtId="168" formatCode="#,##0\ &quot;₽&quot;"/>
    <numFmt numFmtId="169" formatCode="0.0%"/>
  </numFmts>
  <fonts count="12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0"/>
      <color indexed="14"/>
      <name val="Calibri"/>
      <family val="2"/>
      <charset val="204"/>
    </font>
    <font>
      <i/>
      <sz val="10"/>
      <color indexed="8"/>
      <name val="Calibri"/>
      <family val="2"/>
      <charset val="204"/>
    </font>
    <font>
      <b/>
      <sz val="14"/>
      <color indexed="14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9" fontId="3" fillId="0" borderId="0" xfId="0" applyNumberFormat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2" fillId="6" borderId="2" xfId="0" applyFont="1" applyFill="1" applyBorder="1" applyAlignment="1"/>
    <xf numFmtId="0" fontId="2" fillId="6" borderId="3" xfId="0" applyFont="1" applyFill="1" applyBorder="1" applyAlignment="1"/>
    <xf numFmtId="0" fontId="2" fillId="6" borderId="4" xfId="0" applyFont="1" applyFill="1" applyBorder="1" applyAlignment="1"/>
    <xf numFmtId="0" fontId="3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3" fillId="2" borderId="0" xfId="0" applyFont="1" applyFill="1"/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2" borderId="5" xfId="0" applyFont="1" applyFill="1" applyBorder="1" applyAlignment="1"/>
    <xf numFmtId="0" fontId="2" fillId="2" borderId="5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/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3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/>
    </xf>
    <xf numFmtId="0" fontId="2" fillId="0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164" fontId="3" fillId="2" borderId="0" xfId="0" applyNumberFormat="1" applyFont="1" applyFill="1" applyBorder="1" applyAlignment="1">
      <alignment horizontal="left"/>
    </xf>
    <xf numFmtId="168" fontId="3" fillId="0" borderId="1" xfId="1" applyNumberFormat="1" applyFont="1" applyBorder="1" applyAlignment="1">
      <alignment horizontal="left"/>
    </xf>
    <xf numFmtId="168" fontId="2" fillId="7" borderId="1" xfId="1" applyNumberFormat="1" applyFont="1" applyFill="1" applyBorder="1" applyAlignment="1">
      <alignment horizontal="left"/>
    </xf>
    <xf numFmtId="168" fontId="2" fillId="0" borderId="1" xfId="1" applyNumberFormat="1" applyFont="1" applyBorder="1" applyAlignment="1">
      <alignment horizontal="left"/>
    </xf>
    <xf numFmtId="168" fontId="3" fillId="4" borderId="1" xfId="0" applyNumberFormat="1" applyFont="1" applyFill="1" applyBorder="1" applyAlignment="1">
      <alignment horizontal="left" vertical="center"/>
    </xf>
    <xf numFmtId="9" fontId="3" fillId="0" borderId="1" xfId="0" applyNumberFormat="1" applyFont="1" applyFill="1" applyBorder="1"/>
    <xf numFmtId="168" fontId="3" fillId="0" borderId="1" xfId="0" applyNumberFormat="1" applyFont="1" applyBorder="1" applyAlignment="1">
      <alignment horizontal="left" vertical="center"/>
    </xf>
    <xf numFmtId="168" fontId="2" fillId="2" borderId="1" xfId="0" applyNumberFormat="1" applyFont="1" applyFill="1" applyBorder="1" applyAlignment="1">
      <alignment horizontal="left"/>
    </xf>
    <xf numFmtId="168" fontId="2" fillId="6" borderId="1" xfId="0" applyNumberFormat="1" applyFont="1" applyFill="1" applyBorder="1" applyAlignment="1">
      <alignment horizontal="left" vertical="center"/>
    </xf>
    <xf numFmtId="168" fontId="2" fillId="7" borderId="1" xfId="0" applyNumberFormat="1" applyFont="1" applyFill="1" applyBorder="1" applyAlignment="1">
      <alignment horizontal="left"/>
    </xf>
    <xf numFmtId="165" fontId="3" fillId="0" borderId="1" xfId="1" applyNumberFormat="1" applyFont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/>
    </xf>
    <xf numFmtId="166" fontId="3" fillId="8" borderId="1" xfId="0" applyNumberFormat="1" applyFont="1" applyFill="1" applyBorder="1" applyAlignment="1">
      <alignment horizontal="left"/>
    </xf>
    <xf numFmtId="166" fontId="3" fillId="5" borderId="1" xfId="0" applyNumberFormat="1" applyFont="1" applyFill="1" applyBorder="1" applyAlignment="1">
      <alignment horizontal="left"/>
    </xf>
    <xf numFmtId="167" fontId="3" fillId="4" borderId="1" xfId="0" applyNumberFormat="1" applyFont="1" applyFill="1" applyBorder="1" applyAlignment="1">
      <alignment horizontal="left"/>
    </xf>
    <xf numFmtId="167" fontId="3" fillId="2" borderId="1" xfId="0" applyNumberFormat="1" applyFont="1" applyFill="1" applyBorder="1" applyAlignment="1">
      <alignment horizontal="left"/>
    </xf>
    <xf numFmtId="167" fontId="3" fillId="5" borderId="1" xfId="0" applyNumberFormat="1" applyFont="1" applyFill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68" fontId="3" fillId="9" borderId="1" xfId="0" applyNumberFormat="1" applyFont="1" applyFill="1" applyBorder="1" applyAlignment="1">
      <alignment horizontal="left"/>
    </xf>
    <xf numFmtId="168" fontId="3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166" fontId="3" fillId="0" borderId="1" xfId="0" applyNumberFormat="1" applyFont="1" applyBorder="1"/>
    <xf numFmtId="166" fontId="6" fillId="0" borderId="1" xfId="0" applyNumberFormat="1" applyFont="1" applyBorder="1"/>
    <xf numFmtId="168" fontId="3" fillId="0" borderId="1" xfId="0" applyNumberFormat="1" applyFont="1" applyBorder="1"/>
    <xf numFmtId="168" fontId="6" fillId="0" borderId="1" xfId="0" applyNumberFormat="1" applyFont="1" applyBorder="1"/>
    <xf numFmtId="168" fontId="2" fillId="0" borderId="1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left" vertical="center"/>
    </xf>
    <xf numFmtId="168" fontId="7" fillId="0" borderId="1" xfId="0" applyNumberFormat="1" applyFont="1" applyBorder="1" applyAlignment="1">
      <alignment horizontal="center" vertical="center"/>
    </xf>
    <xf numFmtId="165" fontId="3" fillId="9" borderId="1" xfId="1" applyNumberFormat="1" applyFont="1" applyFill="1" applyBorder="1" applyAlignment="1">
      <alignment horizontal="left"/>
    </xf>
    <xf numFmtId="168" fontId="3" fillId="10" borderId="1" xfId="0" applyNumberFormat="1" applyFont="1" applyFill="1" applyBorder="1" applyAlignment="1">
      <alignment horizontal="left"/>
    </xf>
    <xf numFmtId="165" fontId="3" fillId="10" borderId="1" xfId="1" applyNumberFormat="1" applyFont="1" applyFill="1" applyBorder="1" applyAlignment="1">
      <alignment horizontal="left" vertical="center"/>
    </xf>
    <xf numFmtId="166" fontId="9" fillId="0" borderId="1" xfId="0" applyNumberFormat="1" applyFont="1" applyBorder="1"/>
    <xf numFmtId="169" fontId="3" fillId="5" borderId="1" xfId="0" applyNumberFormat="1" applyFont="1" applyFill="1" applyBorder="1" applyAlignment="1">
      <alignment horizontal="left" vertical="center"/>
    </xf>
    <xf numFmtId="168" fontId="3" fillId="0" borderId="0" xfId="0" applyNumberFormat="1" applyFont="1" applyAlignment="1">
      <alignment horizontal="left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/>
    </xf>
    <xf numFmtId="0" fontId="5" fillId="6" borderId="7" xfId="0" applyFont="1" applyFill="1" applyBorder="1" applyAlignment="1">
      <alignment horizontal="left"/>
    </xf>
    <xf numFmtId="0" fontId="5" fillId="6" borderId="8" xfId="0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zoomScale="90" workbookViewId="0">
      <pane ySplit="1" topLeftCell="A2" activePane="bottomLeft" state="frozen"/>
      <selection pane="bottomLeft" activeCell="A43" sqref="A43"/>
    </sheetView>
  </sheetViews>
  <sheetFormatPr defaultRowHeight="12.75"/>
  <cols>
    <col min="1" max="1" width="6.5703125" style="17" customWidth="1"/>
    <col min="2" max="2" width="43.140625" style="17" customWidth="1"/>
    <col min="3" max="3" width="10.7109375" style="17" customWidth="1"/>
    <col min="4" max="4" width="12.28515625" style="17" customWidth="1"/>
    <col min="5" max="5" width="11.5703125" style="17" customWidth="1"/>
    <col min="6" max="6" width="12" style="17" customWidth="1"/>
    <col min="7" max="7" width="11.7109375" style="17" customWidth="1"/>
    <col min="8" max="8" width="11.140625" style="17" customWidth="1"/>
    <col min="9" max="9" width="11.42578125" style="17" customWidth="1"/>
    <col min="10" max="10" width="11.28515625" style="17" customWidth="1"/>
    <col min="11" max="11" width="14.7109375" style="17" customWidth="1"/>
    <col min="12" max="12" width="13.7109375" style="1" customWidth="1"/>
    <col min="13" max="13" width="11.42578125" style="1" customWidth="1"/>
    <col min="14" max="14" width="14.28515625" style="1" customWidth="1"/>
    <col min="15" max="15" width="10.140625" style="1" customWidth="1"/>
    <col min="16" max="16" width="10.5703125" style="1" customWidth="1"/>
    <col min="17" max="17" width="11.42578125" style="1" customWidth="1"/>
    <col min="18" max="18" width="10.85546875" style="1" customWidth="1"/>
    <col min="19" max="16384" width="9.140625" style="1"/>
  </cols>
  <sheetData>
    <row r="1" spans="1:18" ht="18.75">
      <c r="A1" s="140" t="s">
        <v>54</v>
      </c>
      <c r="B1" s="141"/>
      <c r="C1" s="141"/>
      <c r="D1" s="141"/>
      <c r="E1" s="141"/>
      <c r="F1" s="141"/>
      <c r="G1" s="141"/>
      <c r="H1" s="142"/>
      <c r="I1" s="49"/>
      <c r="J1" s="49"/>
      <c r="K1" s="49"/>
      <c r="L1" s="49"/>
      <c r="M1" s="49"/>
    </row>
    <row r="2" spans="1:18" s="41" customFormat="1" ht="15">
      <c r="A2" s="6"/>
      <c r="B2" s="6"/>
      <c r="C2" s="13" t="s">
        <v>24</v>
      </c>
      <c r="D2" s="113" t="s">
        <v>0</v>
      </c>
      <c r="E2" s="113"/>
      <c r="F2" s="113"/>
      <c r="G2" s="113"/>
      <c r="H2" s="113"/>
      <c r="I2" s="113"/>
      <c r="J2" s="113"/>
      <c r="K2" s="33"/>
      <c r="L2" s="33"/>
      <c r="M2" s="49"/>
    </row>
    <row r="3" spans="1:18" s="41" customFormat="1" ht="15" customHeight="1">
      <c r="A3" s="53"/>
      <c r="B3" s="52"/>
      <c r="C3" s="13"/>
      <c r="D3" s="108" t="s">
        <v>23</v>
      </c>
      <c r="E3" s="143" t="s">
        <v>28</v>
      </c>
      <c r="F3" s="143" t="s">
        <v>29</v>
      </c>
      <c r="G3" s="143" t="s">
        <v>19</v>
      </c>
      <c r="H3" s="143" t="s">
        <v>9</v>
      </c>
      <c r="I3" s="143" t="s">
        <v>26</v>
      </c>
      <c r="J3" s="143" t="s">
        <v>20</v>
      </c>
      <c r="K3" s="33"/>
      <c r="L3" s="33"/>
      <c r="M3" s="49"/>
    </row>
    <row r="4" spans="1:18" s="41" customFormat="1" ht="15">
      <c r="A4" s="53"/>
      <c r="B4" s="52"/>
      <c r="C4" s="13"/>
      <c r="D4" s="108"/>
      <c r="E4" s="143"/>
      <c r="F4" s="143"/>
      <c r="G4" s="143"/>
      <c r="H4" s="143"/>
      <c r="I4" s="143"/>
      <c r="J4" s="143"/>
      <c r="K4" s="33"/>
      <c r="L4" s="33"/>
      <c r="M4" s="49"/>
    </row>
    <row r="5" spans="1:18" s="41" customFormat="1" ht="21.75" customHeight="1">
      <c r="A5" s="53"/>
      <c r="B5" s="52"/>
      <c r="C5" s="13"/>
      <c r="D5" s="108"/>
      <c r="E5" s="143"/>
      <c r="F5" s="143"/>
      <c r="G5" s="143"/>
      <c r="H5" s="143"/>
      <c r="I5" s="143"/>
      <c r="J5" s="143"/>
      <c r="K5" s="33"/>
      <c r="L5" s="33"/>
      <c r="M5" s="49"/>
    </row>
    <row r="6" spans="1:18" s="41" customFormat="1" ht="16.5" customHeight="1">
      <c r="A6" s="53"/>
      <c r="B6" s="52"/>
      <c r="C6" s="13"/>
      <c r="D6" s="108"/>
      <c r="E6" s="4" t="s">
        <v>21</v>
      </c>
      <c r="F6" s="35" t="s">
        <v>34</v>
      </c>
      <c r="G6" s="10" t="s">
        <v>34</v>
      </c>
      <c r="H6" s="10" t="s">
        <v>34</v>
      </c>
      <c r="I6" s="5" t="s">
        <v>38</v>
      </c>
      <c r="J6" s="10" t="s">
        <v>34</v>
      </c>
      <c r="K6" s="33"/>
      <c r="L6" s="33"/>
      <c r="M6" s="49"/>
    </row>
    <row r="7" spans="1:18" s="41" customFormat="1" ht="15">
      <c r="A7" s="11"/>
      <c r="B7" s="15"/>
      <c r="C7" s="44"/>
      <c r="D7" s="5">
        <v>2025</v>
      </c>
      <c r="E7" s="3"/>
      <c r="F7" s="102">
        <v>7.25</v>
      </c>
      <c r="G7" s="94"/>
      <c r="H7" s="102">
        <v>8.9499999999999993</v>
      </c>
      <c r="I7" s="61"/>
      <c r="J7" s="95"/>
      <c r="K7" s="33"/>
      <c r="L7" s="33"/>
      <c r="M7" s="49"/>
    </row>
    <row r="8" spans="1:18" s="41" customFormat="1" ht="15">
      <c r="A8" s="11"/>
      <c r="B8" s="15"/>
      <c r="C8" s="44"/>
      <c r="D8" s="5">
        <v>2026</v>
      </c>
      <c r="E8" s="3"/>
      <c r="F8" s="92"/>
      <c r="G8" s="94"/>
      <c r="H8" s="93"/>
      <c r="I8" s="61"/>
      <c r="J8" s="95"/>
      <c r="K8" s="33"/>
      <c r="L8" s="33"/>
      <c r="M8" s="49"/>
    </row>
    <row r="9" spans="1:18" ht="15">
      <c r="A9" s="11"/>
      <c r="B9" s="15"/>
      <c r="C9" s="44"/>
      <c r="D9" s="5">
        <v>2027</v>
      </c>
      <c r="E9" s="3"/>
      <c r="F9" s="92"/>
      <c r="G9" s="94"/>
      <c r="H9" s="93"/>
      <c r="I9" s="61"/>
      <c r="J9" s="95"/>
      <c r="K9" s="33"/>
      <c r="L9" s="33"/>
      <c r="M9" s="49"/>
    </row>
    <row r="10" spans="1:18" ht="15">
      <c r="A10" s="11"/>
      <c r="B10" s="15"/>
      <c r="C10" s="44"/>
      <c r="D10" s="5">
        <v>2028</v>
      </c>
      <c r="E10" s="3"/>
      <c r="F10" s="92"/>
      <c r="G10" s="94"/>
      <c r="H10" s="93"/>
      <c r="I10" s="61"/>
      <c r="J10" s="95"/>
      <c r="K10" s="33"/>
      <c r="L10" s="33"/>
      <c r="M10" s="49"/>
    </row>
    <row r="11" spans="1:18" ht="15">
      <c r="A11" s="11"/>
      <c r="B11" s="15"/>
      <c r="C11" s="44"/>
      <c r="D11" s="5">
        <v>2029</v>
      </c>
      <c r="E11" s="3"/>
      <c r="F11" s="92"/>
      <c r="G11" s="94"/>
      <c r="H11" s="93"/>
      <c r="I11" s="61"/>
      <c r="J11" s="95"/>
      <c r="K11" s="33"/>
      <c r="L11" s="33"/>
      <c r="M11" s="49"/>
    </row>
    <row r="12" spans="1:18" ht="15">
      <c r="A12" s="11"/>
      <c r="B12" s="15"/>
      <c r="C12" s="44"/>
      <c r="D12" s="5">
        <v>2030</v>
      </c>
      <c r="E12" s="3"/>
      <c r="F12" s="92"/>
      <c r="G12" s="94"/>
      <c r="H12" s="93"/>
      <c r="I12" s="61"/>
      <c r="J12" s="95"/>
      <c r="K12" s="33"/>
      <c r="L12" s="33"/>
      <c r="M12" s="49"/>
    </row>
    <row r="13" spans="1:18" ht="15">
      <c r="A13" s="11"/>
      <c r="B13" s="15"/>
      <c r="C13" s="44"/>
      <c r="D13" s="5">
        <v>2031</v>
      </c>
      <c r="E13" s="3"/>
      <c r="F13" s="92"/>
      <c r="G13" s="94"/>
      <c r="H13" s="93"/>
      <c r="I13" s="61"/>
      <c r="J13" s="95"/>
      <c r="K13" s="33"/>
      <c r="L13" s="33"/>
      <c r="M13" s="49"/>
    </row>
    <row r="14" spans="1:18" ht="15">
      <c r="A14" s="34"/>
      <c r="B14" s="51"/>
      <c r="C14" s="40"/>
      <c r="D14" s="9"/>
      <c r="E14" s="3"/>
      <c r="F14" s="94"/>
      <c r="G14" s="96">
        <f>SUM(G7:G13)</f>
        <v>0</v>
      </c>
      <c r="H14" s="97"/>
      <c r="I14" s="62"/>
      <c r="J14" s="98">
        <f>SUM(J7:J13)</f>
        <v>0</v>
      </c>
      <c r="K14" s="33"/>
      <c r="L14" s="33"/>
      <c r="M14" s="49"/>
    </row>
    <row r="15" spans="1:18" ht="12.75" customHeight="1">
      <c r="A15" s="15"/>
      <c r="B15" s="15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49"/>
    </row>
    <row r="16" spans="1:18" ht="15.75" customHeight="1">
      <c r="A16" s="113" t="s">
        <v>7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49"/>
      <c r="N16" s="6"/>
      <c r="O16" s="6"/>
      <c r="P16" s="6"/>
      <c r="Q16" s="6"/>
      <c r="R16" s="6"/>
    </row>
    <row r="17" spans="1:19" ht="18" customHeight="1">
      <c r="A17" s="107" t="s">
        <v>1</v>
      </c>
      <c r="B17" s="107" t="s">
        <v>2</v>
      </c>
      <c r="C17" s="107" t="s">
        <v>3</v>
      </c>
      <c r="D17" s="109" t="s">
        <v>12</v>
      </c>
      <c r="E17" s="109">
        <v>2025</v>
      </c>
      <c r="F17" s="109">
        <v>2026</v>
      </c>
      <c r="G17" s="109">
        <v>2027</v>
      </c>
      <c r="H17" s="109">
        <v>2028</v>
      </c>
      <c r="I17" s="109">
        <v>2029</v>
      </c>
      <c r="J17" s="109">
        <v>2030</v>
      </c>
      <c r="K17" s="109">
        <v>2031</v>
      </c>
      <c r="L17" s="111" t="s">
        <v>8</v>
      </c>
      <c r="M17" s="49"/>
      <c r="N17" s="42"/>
      <c r="O17" s="105"/>
      <c r="P17" s="106"/>
      <c r="Q17" s="106"/>
      <c r="R17" s="106"/>
    </row>
    <row r="18" spans="1:19" ht="12.75" customHeight="1">
      <c r="A18" s="108"/>
      <c r="B18" s="108"/>
      <c r="C18" s="108"/>
      <c r="D18" s="110"/>
      <c r="E18" s="110"/>
      <c r="F18" s="110"/>
      <c r="G18" s="110"/>
      <c r="H18" s="110"/>
      <c r="I18" s="110"/>
      <c r="J18" s="110"/>
      <c r="K18" s="110"/>
      <c r="L18" s="112"/>
      <c r="M18" s="49"/>
      <c r="N18" s="42"/>
      <c r="O18" s="105"/>
      <c r="P18" s="106"/>
      <c r="Q18" s="106"/>
      <c r="R18" s="106"/>
    </row>
    <row r="19" spans="1:19" ht="15.75" customHeight="1">
      <c r="A19" s="4">
        <v>1</v>
      </c>
      <c r="B19" s="39" t="s">
        <v>48</v>
      </c>
      <c r="C19" s="39" t="s">
        <v>4</v>
      </c>
      <c r="D19" s="63">
        <v>400</v>
      </c>
      <c r="E19" s="28"/>
      <c r="F19" s="39"/>
      <c r="G19" s="14"/>
      <c r="H19" s="14"/>
      <c r="I19" s="39"/>
      <c r="J19" s="39"/>
      <c r="K19" s="22"/>
      <c r="L19" s="48"/>
      <c r="M19" s="49"/>
      <c r="N19" s="42"/>
      <c r="O19" s="105"/>
      <c r="P19" s="106"/>
      <c r="Q19" s="106"/>
      <c r="R19" s="106"/>
    </row>
    <row r="20" spans="1:19" ht="15.75" customHeight="1">
      <c r="A20" s="4">
        <v>2</v>
      </c>
      <c r="B20" s="39" t="s">
        <v>16</v>
      </c>
      <c r="C20" s="39" t="s">
        <v>10</v>
      </c>
      <c r="D20" s="103">
        <v>0.9</v>
      </c>
      <c r="E20" s="28"/>
      <c r="F20" s="39"/>
      <c r="G20" s="14"/>
      <c r="H20" s="14"/>
      <c r="I20" s="39"/>
      <c r="J20" s="39"/>
      <c r="K20" s="39"/>
      <c r="L20" s="48"/>
      <c r="M20" s="49"/>
      <c r="N20" s="7"/>
      <c r="O20" s="42"/>
      <c r="P20" s="43"/>
      <c r="Q20" s="43"/>
      <c r="R20" s="43"/>
    </row>
    <row r="21" spans="1:19" ht="15.75" customHeight="1">
      <c r="A21" s="4">
        <v>3</v>
      </c>
      <c r="B21" s="39" t="s">
        <v>17</v>
      </c>
      <c r="C21" s="39" t="s">
        <v>11</v>
      </c>
      <c r="D21" s="101">
        <v>8000</v>
      </c>
      <c r="E21" s="39"/>
      <c r="F21" s="39"/>
      <c r="G21" s="14"/>
      <c r="H21" s="14"/>
      <c r="I21" s="39"/>
      <c r="J21" s="39"/>
      <c r="K21" s="39"/>
      <c r="L21" s="32"/>
      <c r="M21" s="49"/>
      <c r="N21" s="8"/>
      <c r="O21" s="8"/>
      <c r="P21" s="8"/>
      <c r="Q21" s="8"/>
      <c r="R21" s="8"/>
    </row>
    <row r="22" spans="1:19" ht="15.75" customHeight="1">
      <c r="A22" s="4">
        <v>4</v>
      </c>
      <c r="B22" s="66" t="s">
        <v>39</v>
      </c>
      <c r="C22" s="39" t="s">
        <v>38</v>
      </c>
      <c r="D22" s="81">
        <f>(D19*D20)*D21</f>
        <v>2880000</v>
      </c>
      <c r="E22" s="81">
        <f t="shared" ref="E22:K22" si="0">D22</f>
        <v>2880000</v>
      </c>
      <c r="F22" s="81">
        <f t="shared" si="0"/>
        <v>2880000</v>
      </c>
      <c r="G22" s="81">
        <f t="shared" si="0"/>
        <v>2880000</v>
      </c>
      <c r="H22" s="81">
        <f t="shared" si="0"/>
        <v>2880000</v>
      </c>
      <c r="I22" s="81">
        <f t="shared" si="0"/>
        <v>2880000</v>
      </c>
      <c r="J22" s="81">
        <f t="shared" si="0"/>
        <v>2880000</v>
      </c>
      <c r="K22" s="81">
        <f t="shared" si="0"/>
        <v>2880000</v>
      </c>
      <c r="L22" s="82">
        <f>SUM(E22:K22)</f>
        <v>20160000</v>
      </c>
      <c r="M22" s="49"/>
      <c r="N22" s="8"/>
      <c r="O22" s="8"/>
      <c r="P22" s="8"/>
      <c r="Q22" s="8"/>
      <c r="R22" s="8"/>
    </row>
    <row r="23" spans="1:19" ht="15.75" customHeight="1">
      <c r="A23" s="4">
        <v>5</v>
      </c>
      <c r="B23" s="29" t="s">
        <v>40</v>
      </c>
      <c r="C23" s="39" t="s">
        <v>34</v>
      </c>
      <c r="D23" s="77">
        <f>D22*H7</f>
        <v>25775999.999999996</v>
      </c>
      <c r="E23" s="77">
        <f t="shared" ref="E23:K23" si="1">E22*D28</f>
        <v>25775999.999999996</v>
      </c>
      <c r="F23" s="77">
        <f t="shared" si="1"/>
        <v>27064799.999999996</v>
      </c>
      <c r="G23" s="77">
        <f t="shared" si="1"/>
        <v>28418039.999999996</v>
      </c>
      <c r="H23" s="77">
        <f t="shared" si="1"/>
        <v>29838941.999999996</v>
      </c>
      <c r="I23" s="77">
        <f t="shared" si="1"/>
        <v>31330889.100000001</v>
      </c>
      <c r="J23" s="77">
        <f t="shared" si="1"/>
        <v>32897433.555</v>
      </c>
      <c r="K23" s="77">
        <f t="shared" si="1"/>
        <v>34542305.232749999</v>
      </c>
      <c r="L23" s="78">
        <f>SUM(E23:K23)</f>
        <v>209868409.88775</v>
      </c>
      <c r="M23" s="49"/>
      <c r="N23" s="8"/>
      <c r="O23" s="8"/>
      <c r="P23" s="8"/>
      <c r="Q23" s="8"/>
      <c r="R23" s="8"/>
    </row>
    <row r="24" spans="1:19" ht="15.75" customHeight="1">
      <c r="A24" s="4">
        <v>11</v>
      </c>
      <c r="B24" s="69" t="s">
        <v>35</v>
      </c>
      <c r="C24" s="69" t="s">
        <v>34</v>
      </c>
      <c r="D24" s="70"/>
      <c r="E24" s="79">
        <f t="shared" ref="E24:K24" si="2">E23</f>
        <v>25775999.999999996</v>
      </c>
      <c r="F24" s="79">
        <f t="shared" si="2"/>
        <v>27064799.999999996</v>
      </c>
      <c r="G24" s="79">
        <f t="shared" si="2"/>
        <v>28418039.999999996</v>
      </c>
      <c r="H24" s="79">
        <f t="shared" si="2"/>
        <v>29838941.999999996</v>
      </c>
      <c r="I24" s="79">
        <f t="shared" si="2"/>
        <v>31330889.100000001</v>
      </c>
      <c r="J24" s="79">
        <f t="shared" si="2"/>
        <v>32897433.555</v>
      </c>
      <c r="K24" s="79">
        <f t="shared" si="2"/>
        <v>34542305.232749999</v>
      </c>
      <c r="L24" s="80">
        <f>SUM(E24:K24)</f>
        <v>209868409.88775</v>
      </c>
      <c r="M24" s="71"/>
      <c r="N24" s="8"/>
      <c r="O24" s="8"/>
      <c r="P24" s="44"/>
      <c r="Q24" s="7"/>
      <c r="R24" s="7"/>
      <c r="S24" s="2"/>
    </row>
    <row r="25" spans="1:19" ht="15.75" customHeight="1">
      <c r="A25" s="21"/>
      <c r="B25" s="12"/>
      <c r="C25" s="12"/>
      <c r="D25" s="18"/>
      <c r="E25" s="12"/>
      <c r="F25" s="12"/>
      <c r="G25" s="15"/>
      <c r="H25" s="15"/>
      <c r="I25" s="12"/>
      <c r="J25" s="12"/>
      <c r="K25" s="12"/>
      <c r="L25" s="40"/>
      <c r="M25" s="45"/>
      <c r="N25" s="8"/>
      <c r="O25" s="8"/>
      <c r="P25" s="44"/>
      <c r="Q25" s="46"/>
      <c r="R25" s="47"/>
      <c r="S25" s="2"/>
    </row>
    <row r="26" spans="1:19" ht="15.75" customHeight="1">
      <c r="A26" s="36" t="s">
        <v>13</v>
      </c>
      <c r="B26" s="37"/>
      <c r="C26" s="37"/>
      <c r="D26" s="37"/>
      <c r="E26" s="37"/>
      <c r="F26" s="37"/>
      <c r="G26" s="37"/>
      <c r="H26" s="37"/>
      <c r="I26" s="37"/>
      <c r="J26" s="37"/>
      <c r="K26" s="38"/>
      <c r="L26" s="2"/>
      <c r="M26" s="2"/>
      <c r="O26" s="2"/>
      <c r="P26" s="11"/>
      <c r="Q26" s="2"/>
      <c r="R26" s="2"/>
      <c r="S26" s="2"/>
    </row>
    <row r="27" spans="1:19" ht="15.75" customHeight="1">
      <c r="A27" s="4" t="s">
        <v>1</v>
      </c>
      <c r="B27" s="16" t="s">
        <v>2</v>
      </c>
      <c r="C27" s="16" t="s">
        <v>3</v>
      </c>
      <c r="D27" s="16">
        <v>2025</v>
      </c>
      <c r="E27" s="16">
        <v>2026</v>
      </c>
      <c r="F27" s="16">
        <v>2027</v>
      </c>
      <c r="G27" s="16">
        <v>2028</v>
      </c>
      <c r="H27" s="16">
        <v>2029</v>
      </c>
      <c r="I27" s="16">
        <v>2030</v>
      </c>
      <c r="J27" s="16">
        <v>2031</v>
      </c>
      <c r="K27" s="32" t="s">
        <v>8</v>
      </c>
      <c r="L27" s="13"/>
      <c r="M27" s="13"/>
      <c r="N27" s="13"/>
      <c r="O27" s="13"/>
      <c r="P27" s="11"/>
      <c r="Q27" s="2"/>
      <c r="R27" s="2"/>
      <c r="S27" s="2"/>
    </row>
    <row r="28" spans="1:19" ht="15.75" customHeight="1">
      <c r="A28" s="4">
        <v>1</v>
      </c>
      <c r="B28" s="14" t="s">
        <v>41</v>
      </c>
      <c r="C28" s="14" t="s">
        <v>34</v>
      </c>
      <c r="D28" s="83">
        <f>H7</f>
        <v>8.9499999999999993</v>
      </c>
      <c r="E28" s="85">
        <f t="shared" ref="E28:H29" si="3">D28*1.05</f>
        <v>9.3974999999999991</v>
      </c>
      <c r="F28" s="85">
        <f t="shared" si="3"/>
        <v>9.8673749999999991</v>
      </c>
      <c r="G28" s="85">
        <f t="shared" si="3"/>
        <v>10.360743749999999</v>
      </c>
      <c r="H28" s="85">
        <f t="shared" si="3"/>
        <v>10.8787809375</v>
      </c>
      <c r="I28" s="85">
        <f>H28*1.05</f>
        <v>11.422719984375</v>
      </c>
      <c r="J28" s="85">
        <f>I28*1.05</f>
        <v>11.99385598359375</v>
      </c>
      <c r="K28" s="86"/>
      <c r="L28" s="117"/>
      <c r="M28" s="117"/>
      <c r="N28" s="23"/>
      <c r="O28" s="8"/>
      <c r="P28" s="34"/>
      <c r="Q28" s="15"/>
      <c r="R28" s="15"/>
      <c r="S28" s="2"/>
    </row>
    <row r="29" spans="1:19" ht="15.75" customHeight="1">
      <c r="A29" s="4">
        <v>4</v>
      </c>
      <c r="B29" s="14" t="s">
        <v>42</v>
      </c>
      <c r="C29" s="14" t="s">
        <v>34</v>
      </c>
      <c r="D29" s="84">
        <f>F7</f>
        <v>7.25</v>
      </c>
      <c r="E29" s="88">
        <f t="shared" si="3"/>
        <v>7.6125000000000007</v>
      </c>
      <c r="F29" s="88">
        <f t="shared" si="3"/>
        <v>7.9931250000000009</v>
      </c>
      <c r="G29" s="88">
        <f t="shared" si="3"/>
        <v>8.3927812500000005</v>
      </c>
      <c r="H29" s="88">
        <f t="shared" si="3"/>
        <v>8.8124203125000005</v>
      </c>
      <c r="I29" s="88">
        <f>H29*1.05</f>
        <v>9.2530413281250006</v>
      </c>
      <c r="J29" s="88">
        <f>I29*1.05</f>
        <v>9.7156933945312502</v>
      </c>
      <c r="K29" s="86"/>
      <c r="L29" s="31"/>
      <c r="M29" s="31"/>
      <c r="N29" s="8"/>
      <c r="O29" s="8"/>
      <c r="P29" s="34"/>
      <c r="Q29" s="15"/>
      <c r="R29" s="15"/>
      <c r="S29" s="2"/>
    </row>
    <row r="30" spans="1:19">
      <c r="A30" s="4">
        <v>6</v>
      </c>
      <c r="B30" s="14" t="s">
        <v>43</v>
      </c>
      <c r="C30" s="14" t="s">
        <v>6</v>
      </c>
      <c r="D30" s="99">
        <f>E22*D38</f>
        <v>835200</v>
      </c>
      <c r="E30" s="99">
        <f t="shared" ref="E30:J30" si="4">D30</f>
        <v>835200</v>
      </c>
      <c r="F30" s="99">
        <f t="shared" si="4"/>
        <v>835200</v>
      </c>
      <c r="G30" s="99">
        <f t="shared" si="4"/>
        <v>835200</v>
      </c>
      <c r="H30" s="99">
        <f t="shared" si="4"/>
        <v>835200</v>
      </c>
      <c r="I30" s="99">
        <f t="shared" si="4"/>
        <v>835200</v>
      </c>
      <c r="J30" s="99">
        <f t="shared" si="4"/>
        <v>835200</v>
      </c>
      <c r="K30" s="82">
        <f>SUM(D30:J30)</f>
        <v>5846400</v>
      </c>
      <c r="L30" s="13"/>
      <c r="M30" s="7"/>
      <c r="N30" s="13"/>
      <c r="O30" s="13"/>
      <c r="P30" s="13"/>
    </row>
    <row r="31" spans="1:19">
      <c r="A31" s="4">
        <v>8</v>
      </c>
      <c r="B31" s="14" t="s">
        <v>37</v>
      </c>
      <c r="C31" s="14" t="s">
        <v>34</v>
      </c>
      <c r="D31" s="87">
        <v>1.4</v>
      </c>
      <c r="E31" s="85">
        <v>1.4</v>
      </c>
      <c r="F31" s="85">
        <v>1.4</v>
      </c>
      <c r="G31" s="85">
        <v>1.4</v>
      </c>
      <c r="H31" s="85">
        <v>1.4</v>
      </c>
      <c r="I31" s="85">
        <v>1.4</v>
      </c>
      <c r="J31" s="85">
        <v>1.4</v>
      </c>
      <c r="K31" s="14"/>
      <c r="L31" s="31"/>
      <c r="M31" s="31"/>
      <c r="N31" s="8"/>
      <c r="O31" s="8"/>
      <c r="P31" s="8"/>
    </row>
    <row r="32" spans="1:19" ht="16.5" customHeight="1">
      <c r="A32" s="128"/>
      <c r="B32" s="129"/>
      <c r="C32" s="129"/>
      <c r="D32" s="129"/>
      <c r="E32" s="129"/>
      <c r="F32" s="129"/>
      <c r="G32" s="129"/>
      <c r="H32" s="129"/>
      <c r="I32" s="129"/>
      <c r="J32" s="130"/>
      <c r="K32" s="20"/>
      <c r="L32" s="31"/>
      <c r="M32" s="31"/>
      <c r="N32" s="8"/>
      <c r="O32" s="8"/>
      <c r="P32" s="8"/>
    </row>
    <row r="33" spans="1:19">
      <c r="O33" s="2"/>
      <c r="P33" s="2"/>
      <c r="Q33" s="2"/>
      <c r="R33" s="2"/>
      <c r="S33" s="2"/>
    </row>
    <row r="34" spans="1:19" ht="13.5" customHeight="1">
      <c r="A34" s="113" t="s">
        <v>5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3"/>
      <c r="M34" s="13"/>
      <c r="N34" s="13"/>
      <c r="O34" s="6"/>
      <c r="P34" s="2"/>
      <c r="Q34" s="2"/>
      <c r="R34" s="2"/>
      <c r="S34" s="2"/>
    </row>
    <row r="35" spans="1:19" ht="15.75" customHeight="1">
      <c r="A35" s="4" t="s">
        <v>1</v>
      </c>
      <c r="B35" s="24" t="s">
        <v>2</v>
      </c>
      <c r="C35" s="24" t="s">
        <v>3</v>
      </c>
      <c r="D35" s="19">
        <v>2025</v>
      </c>
      <c r="E35" s="19">
        <v>2026</v>
      </c>
      <c r="F35" s="19">
        <v>2027</v>
      </c>
      <c r="G35" s="19">
        <v>2028</v>
      </c>
      <c r="H35" s="19">
        <v>2029</v>
      </c>
      <c r="I35" s="19">
        <v>2030</v>
      </c>
      <c r="J35" s="19">
        <v>2031</v>
      </c>
      <c r="K35" s="24" t="s">
        <v>8</v>
      </c>
      <c r="L35" s="7"/>
      <c r="M35" s="7"/>
      <c r="N35" s="7"/>
      <c r="O35" s="7"/>
    </row>
    <row r="36" spans="1:19">
      <c r="A36" s="5">
        <v>1</v>
      </c>
      <c r="B36" s="27" t="s">
        <v>44</v>
      </c>
      <c r="C36" s="14" t="s">
        <v>34</v>
      </c>
      <c r="D36" s="72">
        <f t="shared" ref="D36:J36" si="5">D30*D29</f>
        <v>6055200</v>
      </c>
      <c r="E36" s="72">
        <f t="shared" si="5"/>
        <v>6357960.0000000009</v>
      </c>
      <c r="F36" s="72">
        <f t="shared" si="5"/>
        <v>6675858.0000000009</v>
      </c>
      <c r="G36" s="72">
        <f t="shared" si="5"/>
        <v>7009650.9000000004</v>
      </c>
      <c r="H36" s="72">
        <f t="shared" si="5"/>
        <v>7360133.4450000003</v>
      </c>
      <c r="I36" s="72">
        <f t="shared" si="5"/>
        <v>7728140.1172500001</v>
      </c>
      <c r="J36" s="72">
        <f t="shared" si="5"/>
        <v>8114547.1231125006</v>
      </c>
      <c r="K36" s="73">
        <f>SUM(D36:J36)</f>
        <v>49301489.585362501</v>
      </c>
      <c r="L36" s="13"/>
      <c r="M36" s="7"/>
      <c r="N36" s="13"/>
      <c r="O36" s="13"/>
      <c r="P36" s="13"/>
    </row>
    <row r="37" spans="1:19">
      <c r="A37" s="5">
        <v>3</v>
      </c>
      <c r="B37" s="27" t="s">
        <v>18</v>
      </c>
      <c r="C37" s="14" t="s">
        <v>34</v>
      </c>
      <c r="D37" s="72">
        <f t="shared" ref="D37:J37" si="6">D31*E22</f>
        <v>4031999.9999999995</v>
      </c>
      <c r="E37" s="72">
        <f t="shared" si="6"/>
        <v>4031999.9999999995</v>
      </c>
      <c r="F37" s="72">
        <f t="shared" si="6"/>
        <v>4031999.9999999995</v>
      </c>
      <c r="G37" s="72">
        <f t="shared" si="6"/>
        <v>4031999.9999999995</v>
      </c>
      <c r="H37" s="72">
        <f t="shared" si="6"/>
        <v>4031999.9999999995</v>
      </c>
      <c r="I37" s="72">
        <f t="shared" si="6"/>
        <v>4031999.9999999995</v>
      </c>
      <c r="J37" s="72">
        <f t="shared" si="6"/>
        <v>4031999.9999999995</v>
      </c>
      <c r="K37" s="74">
        <f>SUM(D37:J37)</f>
        <v>28223999.999999996</v>
      </c>
      <c r="L37" s="55"/>
      <c r="M37" s="6"/>
      <c r="N37" s="23"/>
      <c r="O37" s="8"/>
      <c r="P37" s="8"/>
    </row>
    <row r="38" spans="1:19">
      <c r="A38" s="5">
        <v>4</v>
      </c>
      <c r="B38" s="14" t="s">
        <v>36</v>
      </c>
      <c r="C38" s="14" t="s">
        <v>6</v>
      </c>
      <c r="D38" s="14">
        <v>0.28999999999999998</v>
      </c>
      <c r="E38" s="14">
        <f t="shared" ref="E38:J38" si="7">D38</f>
        <v>0.28999999999999998</v>
      </c>
      <c r="F38" s="14">
        <f t="shared" si="7"/>
        <v>0.28999999999999998</v>
      </c>
      <c r="G38" s="14">
        <f t="shared" si="7"/>
        <v>0.28999999999999998</v>
      </c>
      <c r="H38" s="14">
        <f t="shared" si="7"/>
        <v>0.28999999999999998</v>
      </c>
      <c r="I38" s="14">
        <f t="shared" si="7"/>
        <v>0.28999999999999998</v>
      </c>
      <c r="J38" s="14">
        <f t="shared" si="7"/>
        <v>0.28999999999999998</v>
      </c>
      <c r="K38" s="16"/>
      <c r="L38" s="54"/>
      <c r="M38" s="31"/>
      <c r="N38" s="8"/>
      <c r="O38" s="8"/>
      <c r="P38" s="8"/>
    </row>
    <row r="39" spans="1:19">
      <c r="A39" s="5">
        <v>5</v>
      </c>
      <c r="B39" s="14" t="s">
        <v>27</v>
      </c>
      <c r="C39" s="14" t="s">
        <v>34</v>
      </c>
      <c r="D39" s="72"/>
      <c r="E39" s="72"/>
      <c r="F39" s="72"/>
      <c r="G39" s="72"/>
      <c r="H39" s="72"/>
      <c r="I39" s="72"/>
      <c r="J39" s="72"/>
      <c r="K39" s="72">
        <f>SUM(D39:J39)</f>
        <v>0</v>
      </c>
      <c r="L39" s="55"/>
      <c r="M39" s="6"/>
      <c r="N39" s="23"/>
      <c r="O39" s="8"/>
      <c r="P39" s="8"/>
    </row>
    <row r="40" spans="1:19">
      <c r="A40" s="5">
        <v>6</v>
      </c>
      <c r="B40" s="16" t="s">
        <v>8</v>
      </c>
      <c r="C40" s="16" t="s">
        <v>34</v>
      </c>
      <c r="D40" s="74">
        <f t="shared" ref="D40:J40" si="8">D36+D37</f>
        <v>10087200</v>
      </c>
      <c r="E40" s="74">
        <f t="shared" si="8"/>
        <v>10389960</v>
      </c>
      <c r="F40" s="74">
        <f t="shared" si="8"/>
        <v>10707858</v>
      </c>
      <c r="G40" s="74">
        <f t="shared" si="8"/>
        <v>11041650.9</v>
      </c>
      <c r="H40" s="74">
        <f t="shared" si="8"/>
        <v>11392133.445</v>
      </c>
      <c r="I40" s="74">
        <f t="shared" si="8"/>
        <v>11760140.117249999</v>
      </c>
      <c r="J40" s="74">
        <f t="shared" si="8"/>
        <v>12146547.1231125</v>
      </c>
      <c r="K40" s="74">
        <f>SUM(D40:J40)</f>
        <v>77525489.585362494</v>
      </c>
      <c r="L40" s="6"/>
      <c r="M40" s="6"/>
      <c r="N40" s="23"/>
      <c r="O40" s="8"/>
      <c r="P40" s="8"/>
    </row>
    <row r="41" spans="1:19" s="2" customFormat="1">
      <c r="A41" s="34"/>
      <c r="B41" s="15"/>
      <c r="C41" s="15"/>
      <c r="D41" s="25"/>
      <c r="E41" s="15"/>
      <c r="F41" s="15"/>
      <c r="G41" s="15"/>
      <c r="H41" s="15"/>
      <c r="I41" s="15"/>
      <c r="J41" s="15"/>
      <c r="K41" s="15"/>
      <c r="L41" s="31"/>
      <c r="M41" s="31"/>
      <c r="N41" s="8"/>
      <c r="O41" s="8"/>
      <c r="P41" s="8"/>
    </row>
    <row r="42" spans="1:19" ht="17.25" customHeight="1">
      <c r="A42" s="131" t="s">
        <v>55</v>
      </c>
      <c r="B42" s="132"/>
      <c r="C42" s="132"/>
      <c r="D42" s="133"/>
      <c r="F42" s="131" t="s">
        <v>15</v>
      </c>
      <c r="G42" s="132"/>
      <c r="H42" s="132"/>
      <c r="I42" s="132"/>
      <c r="J42" s="132"/>
      <c r="K42" s="132"/>
      <c r="L42" s="133"/>
      <c r="M42" s="8"/>
      <c r="N42" s="8"/>
      <c r="O42" s="8"/>
      <c r="P42" s="8"/>
    </row>
    <row r="43" spans="1:19" ht="15" customHeight="1">
      <c r="A43" s="4" t="s">
        <v>1</v>
      </c>
      <c r="B43" s="16" t="s">
        <v>2</v>
      </c>
      <c r="C43" s="16" t="s">
        <v>3</v>
      </c>
      <c r="D43" s="16" t="s">
        <v>12</v>
      </c>
      <c r="F43" s="58" t="s">
        <v>1</v>
      </c>
      <c r="G43" s="128" t="s">
        <v>2</v>
      </c>
      <c r="H43" s="129"/>
      <c r="I43" s="129"/>
      <c r="J43" s="130"/>
      <c r="K43" s="59" t="s">
        <v>3</v>
      </c>
      <c r="L43" s="60"/>
      <c r="M43" s="8"/>
      <c r="N43" s="8"/>
      <c r="O43" s="8"/>
      <c r="P43" s="8"/>
    </row>
    <row r="44" spans="1:19" ht="12.75" customHeight="1">
      <c r="A44" s="4">
        <v>1</v>
      </c>
      <c r="B44" s="14" t="s">
        <v>14</v>
      </c>
      <c r="C44" s="14" t="s">
        <v>34</v>
      </c>
      <c r="D44" s="100">
        <v>16000000</v>
      </c>
      <c r="E44" s="104"/>
      <c r="F44" s="65">
        <v>1</v>
      </c>
      <c r="G44" s="121" t="s">
        <v>49</v>
      </c>
      <c r="H44" s="122"/>
      <c r="I44" s="122"/>
      <c r="J44" s="123"/>
      <c r="K44" s="39" t="s">
        <v>34</v>
      </c>
      <c r="L44" s="72">
        <f>L24</f>
        <v>209868409.88775</v>
      </c>
    </row>
    <row r="45" spans="1:19" ht="12.75" customHeight="1">
      <c r="A45" s="4">
        <v>2</v>
      </c>
      <c r="B45" s="14" t="s">
        <v>47</v>
      </c>
      <c r="C45" s="14" t="s">
        <v>34</v>
      </c>
      <c r="D45" s="100"/>
      <c r="F45" s="9">
        <v>2</v>
      </c>
      <c r="G45" s="121" t="s">
        <v>32</v>
      </c>
      <c r="H45" s="122"/>
      <c r="I45" s="122"/>
      <c r="J45" s="123"/>
      <c r="K45" s="39" t="s">
        <v>34</v>
      </c>
      <c r="L45" s="72">
        <f>E24</f>
        <v>25775999.999999996</v>
      </c>
    </row>
    <row r="46" spans="1:19" ht="12.75" customHeight="1">
      <c r="A46" s="4">
        <v>3</v>
      </c>
      <c r="B46" s="30" t="s">
        <v>45</v>
      </c>
      <c r="C46" s="14" t="s">
        <v>34</v>
      </c>
      <c r="D46" s="89">
        <v>0</v>
      </c>
      <c r="F46" s="65">
        <v>3</v>
      </c>
      <c r="G46" s="121" t="s">
        <v>22</v>
      </c>
      <c r="H46" s="122"/>
      <c r="I46" s="122"/>
      <c r="J46" s="123"/>
      <c r="K46" s="39" t="s">
        <v>34</v>
      </c>
      <c r="L46" s="72">
        <f>D55</f>
        <v>6000000</v>
      </c>
    </row>
    <row r="47" spans="1:19" ht="13.5" customHeight="1">
      <c r="A47" s="4">
        <v>4</v>
      </c>
      <c r="B47" s="26" t="s">
        <v>33</v>
      </c>
      <c r="C47" s="14" t="s">
        <v>34</v>
      </c>
      <c r="D47" s="90">
        <v>3800000</v>
      </c>
      <c r="F47" s="9">
        <v>4</v>
      </c>
      <c r="G47" s="118" t="s">
        <v>50</v>
      </c>
      <c r="H47" s="119"/>
      <c r="I47" s="119"/>
      <c r="J47" s="120"/>
      <c r="K47" s="28" t="s">
        <v>34</v>
      </c>
      <c r="L47" s="75">
        <f>L46*7</f>
        <v>42000000</v>
      </c>
    </row>
    <row r="48" spans="1:19" ht="17.25" customHeight="1">
      <c r="A48" s="4">
        <v>5</v>
      </c>
      <c r="B48" s="26" t="s">
        <v>46</v>
      </c>
      <c r="C48" s="14" t="s">
        <v>34</v>
      </c>
      <c r="D48" s="90">
        <v>0</v>
      </c>
      <c r="F48" s="65">
        <v>5</v>
      </c>
      <c r="G48" s="114" t="s">
        <v>30</v>
      </c>
      <c r="H48" s="115"/>
      <c r="I48" s="115"/>
      <c r="J48" s="116"/>
      <c r="K48" s="66" t="s">
        <v>34</v>
      </c>
      <c r="L48" s="72">
        <f>L45-L46-D36</f>
        <v>13720799.999999996</v>
      </c>
    </row>
    <row r="49" spans="1:12" ht="13.5" customHeight="1">
      <c r="A49" s="134" t="s">
        <v>8</v>
      </c>
      <c r="B49" s="134"/>
      <c r="C49" s="16" t="s">
        <v>34</v>
      </c>
      <c r="D49" s="91">
        <f>SUM(D44:D48)</f>
        <v>19800000</v>
      </c>
      <c r="F49" s="9">
        <v>6</v>
      </c>
      <c r="G49" s="125" t="s">
        <v>51</v>
      </c>
      <c r="H49" s="126"/>
      <c r="I49" s="126"/>
      <c r="J49" s="127"/>
      <c r="K49" s="66" t="s">
        <v>34</v>
      </c>
      <c r="L49" s="72">
        <f>L44-L47-K36</f>
        <v>118566920.30238751</v>
      </c>
    </row>
    <row r="50" spans="1:12" ht="13.5" customHeight="1">
      <c r="A50" s="128"/>
      <c r="B50" s="130"/>
      <c r="C50" s="16"/>
      <c r="D50" s="16"/>
      <c r="F50" s="65">
        <v>7</v>
      </c>
      <c r="G50" s="124" t="s">
        <v>31</v>
      </c>
      <c r="H50" s="124"/>
      <c r="I50" s="124"/>
      <c r="J50" s="124"/>
      <c r="K50" s="66" t="s">
        <v>10</v>
      </c>
      <c r="L50" s="76">
        <f>L49/L44</f>
        <v>0.56495839638659329</v>
      </c>
    </row>
    <row r="51" spans="1:12" ht="13.5" customHeight="1">
      <c r="A51" s="134"/>
      <c r="B51" s="134"/>
      <c r="C51" s="134"/>
      <c r="D51" s="16"/>
      <c r="F51" s="51"/>
      <c r="G51" s="2"/>
      <c r="H51" s="2"/>
      <c r="I51" s="2"/>
      <c r="J51" s="2"/>
      <c r="K51" s="2"/>
      <c r="L51" s="2">
        <f>L46/D22</f>
        <v>2.0833333333333335</v>
      </c>
    </row>
    <row r="52" spans="1:12" ht="13.5" customHeight="1">
      <c r="A52" s="139"/>
      <c r="B52" s="139"/>
      <c r="C52" s="34"/>
      <c r="D52" s="34"/>
      <c r="F52" s="68"/>
      <c r="G52" s="68"/>
      <c r="H52" s="68"/>
      <c r="I52" s="68"/>
      <c r="J52" s="68"/>
      <c r="K52" s="68"/>
      <c r="L52" s="68">
        <f>(L47+K36)/L22</f>
        <v>4.5288437294326638</v>
      </c>
    </row>
    <row r="53" spans="1:12" ht="15.75" customHeight="1">
      <c r="A53" s="135" t="s">
        <v>25</v>
      </c>
      <c r="B53" s="136"/>
      <c r="C53" s="136"/>
      <c r="D53" s="137"/>
      <c r="F53" s="68"/>
      <c r="G53" s="68"/>
      <c r="H53" s="68"/>
      <c r="I53" s="68"/>
      <c r="J53" s="68"/>
      <c r="K53" s="68"/>
      <c r="L53" s="68"/>
    </row>
    <row r="54" spans="1:12" ht="13.5" customHeight="1">
      <c r="A54" s="16">
        <v>1</v>
      </c>
      <c r="B54" s="16" t="s">
        <v>52</v>
      </c>
      <c r="C54" s="14" t="s">
        <v>34</v>
      </c>
      <c r="D54" s="90">
        <v>500000</v>
      </c>
      <c r="F54" s="138"/>
      <c r="G54" s="138"/>
      <c r="H54" s="138"/>
      <c r="I54" s="138"/>
      <c r="J54" s="138"/>
      <c r="K54" s="138"/>
      <c r="L54" s="67"/>
    </row>
    <row r="55" spans="1:12" ht="13.5" customHeight="1">
      <c r="A55" s="16">
        <v>2</v>
      </c>
      <c r="B55" s="16" t="s">
        <v>53</v>
      </c>
      <c r="C55" s="14" t="s">
        <v>34</v>
      </c>
      <c r="D55" s="91">
        <f>D54*12</f>
        <v>6000000</v>
      </c>
      <c r="F55" s="12"/>
      <c r="G55" s="12"/>
      <c r="H55" s="12"/>
      <c r="I55" s="12"/>
      <c r="J55" s="12"/>
      <c r="K55" s="12"/>
    </row>
    <row r="56" spans="1:12" ht="13.5" customHeight="1">
      <c r="A56" s="21"/>
      <c r="B56" s="15"/>
      <c r="C56" s="15"/>
      <c r="D56" s="15"/>
      <c r="F56" s="15"/>
      <c r="G56" s="15"/>
      <c r="H56" s="15"/>
      <c r="I56" s="12"/>
      <c r="J56" s="12"/>
      <c r="K56" s="12"/>
    </row>
    <row r="57" spans="1:12" ht="14.25" customHeight="1">
      <c r="A57" s="139"/>
      <c r="B57" s="139"/>
      <c r="C57" s="34"/>
      <c r="D57" s="34"/>
      <c r="F57" s="12"/>
      <c r="G57" s="12"/>
      <c r="H57" s="12"/>
      <c r="I57" s="64"/>
      <c r="J57" s="64"/>
      <c r="K57" s="12"/>
    </row>
    <row r="58" spans="1:12">
      <c r="A58" s="15"/>
      <c r="B58" s="15"/>
      <c r="C58" s="15"/>
      <c r="D58" s="15"/>
      <c r="F58" s="12"/>
      <c r="G58" s="12"/>
      <c r="H58" s="12"/>
      <c r="I58" s="64"/>
      <c r="J58" s="64"/>
      <c r="K58" s="12"/>
    </row>
    <row r="59" spans="1:12">
      <c r="A59" s="139"/>
      <c r="B59" s="139"/>
      <c r="C59" s="34"/>
      <c r="D59" s="34"/>
    </row>
    <row r="60" spans="1:12">
      <c r="A60" s="139"/>
      <c r="B60" s="139"/>
      <c r="C60" s="139"/>
      <c r="D60" s="34"/>
    </row>
    <row r="61" spans="1:12">
      <c r="A61" s="15"/>
      <c r="B61" s="15"/>
      <c r="C61" s="15"/>
      <c r="D61" s="15"/>
    </row>
    <row r="62" spans="1:12">
      <c r="A62" s="139"/>
      <c r="B62" s="139"/>
      <c r="C62" s="34"/>
      <c r="D62" s="34"/>
    </row>
    <row r="63" spans="1:12">
      <c r="A63" s="139"/>
      <c r="B63" s="139"/>
      <c r="C63" s="139"/>
      <c r="D63" s="34"/>
    </row>
    <row r="69" spans="4:12">
      <c r="D69" s="15"/>
      <c r="E69" s="15"/>
      <c r="F69" s="15"/>
      <c r="G69" s="15"/>
      <c r="H69" s="15"/>
      <c r="I69" s="15"/>
      <c r="J69" s="15"/>
      <c r="K69" s="15"/>
      <c r="L69" s="2"/>
    </row>
    <row r="70" spans="4:12">
      <c r="D70" s="15"/>
      <c r="E70" s="52"/>
      <c r="F70" s="52"/>
      <c r="G70" s="52"/>
      <c r="H70" s="52"/>
      <c r="I70" s="52"/>
      <c r="J70" s="52"/>
      <c r="K70" s="15"/>
      <c r="L70" s="2"/>
    </row>
    <row r="71" spans="4:12">
      <c r="D71" s="15"/>
      <c r="E71" s="52"/>
      <c r="F71" s="52"/>
      <c r="G71" s="52"/>
      <c r="H71" s="52"/>
      <c r="I71" s="52"/>
      <c r="J71" s="52"/>
      <c r="K71" s="15"/>
      <c r="L71" s="2"/>
    </row>
    <row r="72" spans="4:12">
      <c r="D72" s="15"/>
      <c r="E72" s="52"/>
      <c r="F72" s="52"/>
      <c r="G72" s="52"/>
      <c r="H72" s="52"/>
      <c r="I72" s="52"/>
      <c r="J72" s="52"/>
      <c r="K72" s="15"/>
      <c r="L72" s="2"/>
    </row>
    <row r="73" spans="4:12">
      <c r="D73" s="15"/>
      <c r="E73" s="50"/>
      <c r="F73" s="56"/>
      <c r="G73" s="57"/>
      <c r="H73" s="57"/>
      <c r="I73" s="57"/>
      <c r="J73" s="57"/>
      <c r="K73" s="15"/>
      <c r="L73" s="2"/>
    </row>
    <row r="74" spans="4:12">
      <c r="D74" s="15"/>
      <c r="E74" s="15"/>
      <c r="F74" s="15"/>
      <c r="G74" s="15"/>
      <c r="H74" s="15"/>
      <c r="I74" s="15"/>
      <c r="J74" s="15"/>
      <c r="K74" s="15"/>
      <c r="L74" s="2"/>
    </row>
    <row r="75" spans="4:12">
      <c r="D75" s="15"/>
      <c r="E75" s="15"/>
      <c r="F75" s="15"/>
      <c r="G75" s="15"/>
      <c r="H75" s="15"/>
      <c r="I75" s="15"/>
      <c r="J75" s="15"/>
      <c r="K75" s="15"/>
      <c r="L75" s="2"/>
    </row>
    <row r="76" spans="4:12">
      <c r="D76" s="15"/>
      <c r="E76" s="15"/>
      <c r="F76" s="15"/>
      <c r="G76" s="15"/>
      <c r="H76" s="15"/>
      <c r="I76" s="15"/>
      <c r="J76" s="15"/>
      <c r="K76" s="15"/>
      <c r="L76" s="2"/>
    </row>
    <row r="77" spans="4:12">
      <c r="D77" s="15"/>
      <c r="E77" s="15"/>
      <c r="F77" s="15"/>
      <c r="G77" s="15"/>
      <c r="H77" s="15"/>
      <c r="I77" s="15"/>
      <c r="J77" s="15"/>
      <c r="K77" s="15"/>
      <c r="L77" s="2"/>
    </row>
  </sheetData>
  <mergeCells count="50">
    <mergeCell ref="A51:C51"/>
    <mergeCell ref="A1:H1"/>
    <mergeCell ref="D3:D6"/>
    <mergeCell ref="E3:E5"/>
    <mergeCell ref="F3:F5"/>
    <mergeCell ref="G3:G5"/>
    <mergeCell ref="H3:H5"/>
    <mergeCell ref="D2:J2"/>
    <mergeCell ref="I3:I5"/>
    <mergeCell ref="J3:J5"/>
    <mergeCell ref="A53:D53"/>
    <mergeCell ref="F54:K54"/>
    <mergeCell ref="A63:C63"/>
    <mergeCell ref="A57:B57"/>
    <mergeCell ref="A42:D42"/>
    <mergeCell ref="A59:B59"/>
    <mergeCell ref="A60:C60"/>
    <mergeCell ref="A62:B62"/>
    <mergeCell ref="A52:B52"/>
    <mergeCell ref="A50:B50"/>
    <mergeCell ref="G50:J50"/>
    <mergeCell ref="G45:J45"/>
    <mergeCell ref="G49:J49"/>
    <mergeCell ref="A32:J32"/>
    <mergeCell ref="G43:J43"/>
    <mergeCell ref="F42:L42"/>
    <mergeCell ref="G44:J44"/>
    <mergeCell ref="A49:B49"/>
    <mergeCell ref="G48:J48"/>
    <mergeCell ref="E17:E18"/>
    <mergeCell ref="F17:F18"/>
    <mergeCell ref="L28:M28"/>
    <mergeCell ref="G47:J47"/>
    <mergeCell ref="G46:J46"/>
    <mergeCell ref="C17:C18"/>
    <mergeCell ref="A16:L16"/>
    <mergeCell ref="D17:D18"/>
    <mergeCell ref="B17:B18"/>
    <mergeCell ref="G17:G18"/>
    <mergeCell ref="A34:K34"/>
    <mergeCell ref="O17:O19"/>
    <mergeCell ref="Q17:Q19"/>
    <mergeCell ref="R17:R19"/>
    <mergeCell ref="P17:P19"/>
    <mergeCell ref="A17:A18"/>
    <mergeCell ref="J17:J18"/>
    <mergeCell ref="K17:K18"/>
    <mergeCell ref="L17:L18"/>
    <mergeCell ref="H17:H18"/>
    <mergeCell ref="I17:I18"/>
  </mergeCells>
  <phoneticPr fontId="4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гпу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2025-05-14T06:48:16Z</dcterms:modified>
</cp:coreProperties>
</file>