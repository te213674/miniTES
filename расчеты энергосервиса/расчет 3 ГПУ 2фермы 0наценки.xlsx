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9140" windowHeight="12210"/>
  </bookViews>
  <sheets>
    <sheet name="Report" sheetId="1" r:id="rId1"/>
  </sheets>
  <calcPr calcId="114210" calcOnSave="0" concurrentCalc="0"/>
</workbook>
</file>

<file path=xl/calcChain.xml><?xml version="1.0" encoding="utf-8"?>
<calcChain xmlns="http://schemas.openxmlformats.org/spreadsheetml/2006/main">
  <c r="F782" i="1"/>
  <c r="D730"/>
  <c r="E732"/>
  <c r="F781"/>
  <c r="F743"/>
  <c r="F744"/>
  <c r="F779"/>
  <c r="F778"/>
  <c r="F780"/>
  <c r="F749"/>
  <c r="F750"/>
  <c r="F753"/>
  <c r="F757"/>
  <c r="F784"/>
  <c r="F758"/>
  <c r="F738"/>
  <c r="F785"/>
  <c r="F737"/>
  <c r="F783"/>
  <c r="F762"/>
  <c r="F767"/>
  <c r="F769"/>
  <c r="F774"/>
  <c r="F745"/>
  <c r="F773"/>
  <c r="F772"/>
  <c r="F763"/>
  <c r="F764"/>
  <c r="C726"/>
  <c r="D726"/>
  <c r="C728"/>
  <c r="D728"/>
  <c r="D115"/>
  <c r="F115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E147"/>
  <c r="D100"/>
  <c r="D101"/>
  <c r="D102"/>
  <c r="D103"/>
  <c r="D104"/>
  <c r="D105"/>
  <c r="D106"/>
  <c r="D107"/>
  <c r="D108"/>
  <c r="D109"/>
  <c r="D110"/>
  <c r="D111"/>
  <c r="D112"/>
  <c r="D113"/>
  <c r="D114"/>
  <c r="D116"/>
  <c r="D117"/>
  <c r="D118"/>
  <c r="D119"/>
  <c r="D120"/>
  <c r="D121"/>
  <c r="D122"/>
  <c r="D123"/>
  <c r="E123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E99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E75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E5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E27"/>
</calcChain>
</file>

<file path=xl/sharedStrings.xml><?xml version="1.0" encoding="utf-8"?>
<sst xmlns="http://schemas.openxmlformats.org/spreadsheetml/2006/main" count="800" uniqueCount="90">
  <si>
    <t/>
  </si>
  <si>
    <t>Дата</t>
  </si>
  <si>
    <t>Час</t>
  </si>
  <si>
    <t>Объем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</si>
  <si>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</si>
  <si>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</si>
  <si>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</si>
  <si>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</si>
  <si>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</si>
  <si>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</si>
  <si>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</si>
  <si>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</si>
  <si>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</si>
  <si>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</si>
  <si>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</si>
  <si>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</si>
  <si>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</si>
  <si>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</si>
  <si>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</si>
  <si>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</si>
  <si>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</si>
  <si>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</si>
  <si>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</si>
  <si>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</si>
  <si>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</si>
  <si>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</si>
  <si>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</si>
  <si>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</si>
  <si>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</si>
  <si>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</si>
  <si>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</si>
  <si>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</si>
  <si>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</si>
  <si>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</si>
  <si>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среднее</t>
  </si>
  <si>
    <t>блоки</t>
  </si>
  <si>
    <t>объем после коэф.</t>
  </si>
  <si>
    <t>средняя мощность кВт</t>
  </si>
  <si>
    <t>свое потребление</t>
  </si>
  <si>
    <t>всего кВтЧ арендатор</t>
  </si>
  <si>
    <t>арендатор по сч-фактуре</t>
  </si>
  <si>
    <t>выплата подрядчику</t>
  </si>
  <si>
    <t>итого расходы</t>
  </si>
  <si>
    <t>обслуживание ГПУ</t>
  </si>
  <si>
    <t xml:space="preserve">выплата инвестору </t>
  </si>
  <si>
    <t>1,4р Х кВтЧ</t>
  </si>
  <si>
    <t>0,3 Х 7,35р</t>
  </si>
  <si>
    <t>.</t>
  </si>
  <si>
    <t>макс мощность кВт</t>
  </si>
  <si>
    <t>обслуживание фермы</t>
  </si>
  <si>
    <t>итого ДОходы</t>
  </si>
  <si>
    <t>за 3 блока</t>
  </si>
  <si>
    <t>с накидкой</t>
  </si>
  <si>
    <t>расходы на газ на ээ</t>
  </si>
  <si>
    <t>расходы на газ на фермы</t>
  </si>
  <si>
    <t>за месяц х2 фермы х 90кВт</t>
  </si>
  <si>
    <t>план РАсходов инвестора на 2 фермы(на примере июня 2025г)</t>
  </si>
  <si>
    <t>и + 3 х ГПУ через 3 года</t>
  </si>
  <si>
    <t>разница для заказчика в мес</t>
  </si>
  <si>
    <t>разница на ээ тариф</t>
  </si>
  <si>
    <t>0,3м3х90кВт х2шт х7,35р х24ч х30дней</t>
  </si>
  <si>
    <t>ээ тариф от сети сейчас</t>
  </si>
  <si>
    <t>газ тариф</t>
  </si>
  <si>
    <t>компенсация разницы тарифа</t>
  </si>
  <si>
    <t>план расходов на 3х ГПУ на потребеление заказчика(на примере июня 2025г)</t>
  </si>
  <si>
    <t>тариф от ГПУ на Х 3года</t>
  </si>
  <si>
    <t>тариф от ГПУ после Х 3лет</t>
  </si>
  <si>
    <t>итого расходы НА ээ заказчика</t>
  </si>
  <si>
    <t>реальный тариф без компенсации</t>
  </si>
  <si>
    <t>реальный тариф после выкупа ГПУ</t>
  </si>
  <si>
    <r>
      <t xml:space="preserve">итого вместе с арендатором заказчик платит сети </t>
    </r>
    <r>
      <rPr>
        <sz val="14"/>
        <color indexed="8"/>
        <rFont val="Calibri"/>
        <family val="2"/>
        <charset val="204"/>
      </rPr>
      <t>сейчас</t>
    </r>
  </si>
  <si>
    <r>
      <t>заказчик</t>
    </r>
    <r>
      <rPr>
        <sz val="14"/>
        <color indexed="8"/>
        <rFont val="Calibri"/>
        <family val="2"/>
        <charset val="204"/>
      </rPr>
      <t xml:space="preserve"> будет</t>
    </r>
    <r>
      <rPr>
        <sz val="11"/>
        <color indexed="8"/>
        <rFont val="Calibri"/>
        <family val="2"/>
      </rPr>
      <t xml:space="preserve"> платить по тарифу от ГПУ</t>
    </r>
  </si>
  <si>
    <t>доход от ферм</t>
  </si>
  <si>
    <t>за 2 фермы</t>
  </si>
  <si>
    <t>оценка внешнего эксперта</t>
  </si>
  <si>
    <t>факт расходы заказчика на ээ (на примере июня 2025г)</t>
  </si>
  <si>
    <t>что будет показано заказчику</t>
  </si>
  <si>
    <t>накидка</t>
  </si>
  <si>
    <t>реальный тариф без компенсации от инвестора и подрядчика</t>
  </si>
  <si>
    <t>после выкупа ГПУ</t>
  </si>
  <si>
    <t>все расчеты на основании данных заказчика за июнь 2025 года</t>
  </si>
  <si>
    <t>итоговые суммы за месяц(на примере июня 2025г)</t>
  </si>
  <si>
    <t>инвестору</t>
  </si>
  <si>
    <t>заказчику</t>
  </si>
  <si>
    <t>подрядчику</t>
  </si>
  <si>
    <t>план ДОходов на фермы(на примере июня 2025г)</t>
  </si>
  <si>
    <t>НО + выкуп 3 х ГПУ</t>
  </si>
  <si>
    <t>разница между оплатой заказчика по тарифу и</t>
  </si>
  <si>
    <r>
      <t xml:space="preserve">реальным расходом </t>
    </r>
    <r>
      <rPr>
        <b/>
        <sz val="11"/>
        <color indexed="20"/>
        <rFont val="Calibri"/>
        <family val="2"/>
        <charset val="204"/>
      </rPr>
      <t>компенсируется из доходов ферм</t>
    </r>
  </si>
  <si>
    <t>разница для заказчика мес</t>
  </si>
</sst>
</file>

<file path=xl/styles.xml><?xml version="1.0" encoding="utf-8"?>
<styleSheet xmlns="http://schemas.openxmlformats.org/spreadsheetml/2006/main">
  <numFmts count="10">
    <numFmt numFmtId="43" formatCode="_-* #,##0.00\ _₽_-;\-* #,##0.00\ _₽_-;_-* &quot;-&quot;??\ _₽_-;_-@_-"/>
    <numFmt numFmtId="165" formatCode="_-* #,##0.000\ _₽_-;\-* #,##0.000\ _₽_-;_-* &quot;-&quot;??\ _₽_-;_-@_-"/>
    <numFmt numFmtId="166" formatCode="0.000"/>
    <numFmt numFmtId="167" formatCode="0.0%"/>
    <numFmt numFmtId="168" formatCode="_-* #,##0.0\ _₽_-;\-* #,##0.0\ _₽_-;_-* &quot;-&quot;??\ _₽_-;_-@_-"/>
    <numFmt numFmtId="169" formatCode="_-* #,##0\ _₽_-;\-* #,##0\ _₽_-;_-* &quot;-&quot;??\ _₽_-;_-@_-"/>
    <numFmt numFmtId="170" formatCode="0.0"/>
    <numFmt numFmtId="171" formatCode="#,##0\ &quot;₽&quot;"/>
    <numFmt numFmtId="172" formatCode="_-* #,##0.0\ _₽_-;\-* #,##0.0\ _₽_-;_-* &quot;-&quot;?\ _₽_-;_-@_-"/>
    <numFmt numFmtId="173" formatCode="#,##0.0\ &quot;₽&quot;"/>
  </numFmts>
  <fonts count="32"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6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color indexed="8"/>
      <name val="Calibri"/>
      <family val="2"/>
    </font>
    <font>
      <sz val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  <charset val="204"/>
    </font>
    <font>
      <i/>
      <sz val="11"/>
      <color indexed="8"/>
      <name val="Calibri"/>
      <family val="2"/>
      <charset val="204"/>
    </font>
    <font>
      <b/>
      <i/>
      <sz val="11"/>
      <color indexed="8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i/>
      <sz val="11"/>
      <color indexed="57"/>
      <name val="Calibri"/>
      <family val="2"/>
      <charset val="204"/>
    </font>
    <font>
      <b/>
      <i/>
      <sz val="11"/>
      <color indexed="52"/>
      <name val="Calibri"/>
      <family val="2"/>
      <charset val="204"/>
    </font>
    <font>
      <b/>
      <sz val="11"/>
      <color indexed="17"/>
      <name val="Calibri"/>
      <family val="2"/>
      <charset val="204"/>
    </font>
    <font>
      <b/>
      <sz val="11"/>
      <color indexed="53"/>
      <name val="Calibri"/>
      <family val="2"/>
      <charset val="204"/>
    </font>
    <font>
      <sz val="11"/>
      <color indexed="12"/>
      <name val="Calibri"/>
      <family val="2"/>
    </font>
    <font>
      <sz val="14"/>
      <color indexed="8"/>
      <name val="Calibri"/>
      <family val="2"/>
      <charset val="204"/>
    </font>
    <font>
      <b/>
      <sz val="11"/>
      <color indexed="12"/>
      <name val="Calibri"/>
      <family val="2"/>
      <charset val="204"/>
    </font>
    <font>
      <b/>
      <sz val="11"/>
      <color indexed="60"/>
      <name val="Calibri"/>
      <family val="2"/>
      <charset val="204"/>
    </font>
    <font>
      <b/>
      <sz val="11"/>
      <color indexed="20"/>
      <name val="Calibri"/>
      <family val="2"/>
      <charset val="204"/>
    </font>
    <font>
      <b/>
      <i/>
      <sz val="11"/>
      <color indexed="17"/>
      <name val="Calibri"/>
      <family val="2"/>
      <charset val="204"/>
    </font>
    <font>
      <i/>
      <sz val="11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4"/>
      <color indexed="8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24">
    <xf numFmtId="0" fontId="0" fillId="0" borderId="0" xfId="0"/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5" fillId="0" borderId="1" xfId="0" applyNumberFormat="1" applyFont="1" applyBorder="1" applyAlignment="1">
      <alignment horizontal="center" vertical="top" wrapText="1"/>
    </xf>
    <xf numFmtId="0" fontId="6" fillId="0" borderId="1" xfId="0" applyNumberFormat="1" applyFont="1" applyBorder="1" applyAlignment="1">
      <alignment horizontal="right" vertical="top" wrapText="1"/>
    </xf>
    <xf numFmtId="0" fontId="0" fillId="0" borderId="0" xfId="0" applyNumberForma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165" fontId="5" fillId="0" borderId="1" xfId="1" applyNumberFormat="1" applyFont="1" applyBorder="1" applyAlignment="1">
      <alignment horizontal="center" vertical="top" wrapText="1"/>
    </xf>
    <xf numFmtId="165" fontId="8" fillId="0" borderId="1" xfId="1" applyNumberFormat="1" applyFont="1" applyBorder="1" applyAlignment="1">
      <alignment horizontal="right" vertical="top" wrapText="1"/>
    </xf>
    <xf numFmtId="165" fontId="0" fillId="0" borderId="0" xfId="1" applyNumberFormat="1" applyFont="1"/>
    <xf numFmtId="0" fontId="7" fillId="0" borderId="2" xfId="0" applyFont="1" applyBorder="1" applyAlignment="1">
      <alignment horizontal="left" vertical="top" wrapText="1"/>
    </xf>
    <xf numFmtId="0" fontId="6" fillId="0" borderId="2" xfId="0" applyNumberFormat="1" applyFont="1" applyBorder="1" applyAlignment="1">
      <alignment horizontal="right" vertical="top" wrapText="1"/>
    </xf>
    <xf numFmtId="165" fontId="8" fillId="0" borderId="2" xfId="1" applyNumberFormat="1" applyFont="1" applyBorder="1" applyAlignment="1">
      <alignment horizontal="right" vertical="top" wrapText="1"/>
    </xf>
    <xf numFmtId="0" fontId="7" fillId="0" borderId="3" xfId="0" applyFont="1" applyBorder="1" applyAlignment="1">
      <alignment horizontal="left" vertical="top" wrapText="1"/>
    </xf>
    <xf numFmtId="0" fontId="6" fillId="0" borderId="3" xfId="0" applyNumberFormat="1" applyFont="1" applyBorder="1" applyAlignment="1">
      <alignment horizontal="right" vertical="top" wrapText="1"/>
    </xf>
    <xf numFmtId="165" fontId="8" fillId="0" borderId="3" xfId="1" applyNumberFormat="1" applyFont="1" applyBorder="1" applyAlignment="1">
      <alignment horizontal="right" vertical="top" wrapText="1"/>
    </xf>
    <xf numFmtId="0" fontId="0" fillId="0" borderId="4" xfId="0" applyBorder="1"/>
    <xf numFmtId="165" fontId="0" fillId="0" borderId="4" xfId="0" applyNumberFormat="1" applyBorder="1"/>
    <xf numFmtId="0" fontId="5" fillId="0" borderId="5" xfId="0" applyNumberFormat="1" applyFont="1" applyFill="1" applyBorder="1" applyAlignment="1">
      <alignment horizontal="center" vertical="top" wrapText="1"/>
    </xf>
    <xf numFmtId="0" fontId="0" fillId="0" borderId="0" xfId="0" applyFill="1" applyBorder="1"/>
    <xf numFmtId="165" fontId="5" fillId="0" borderId="0" xfId="1" applyNumberFormat="1" applyFont="1" applyBorder="1" applyAlignment="1">
      <alignment horizontal="center" vertical="top" wrapText="1"/>
    </xf>
    <xf numFmtId="165" fontId="8" fillId="0" borderId="0" xfId="1" applyNumberFormat="1" applyFont="1" applyBorder="1" applyAlignment="1">
      <alignment horizontal="right" vertical="top" wrapText="1"/>
    </xf>
    <xf numFmtId="168" fontId="8" fillId="0" borderId="0" xfId="1" applyNumberFormat="1" applyFont="1" applyBorder="1" applyAlignment="1">
      <alignment horizontal="right" vertical="top" wrapText="1"/>
    </xf>
    <xf numFmtId="168" fontId="8" fillId="0" borderId="6" xfId="1" applyNumberFormat="1" applyFont="1" applyBorder="1" applyAlignment="1">
      <alignment horizontal="right" vertical="top" wrapText="1"/>
    </xf>
    <xf numFmtId="168" fontId="0" fillId="0" borderId="4" xfId="0" applyNumberFormat="1" applyBorder="1"/>
    <xf numFmtId="172" fontId="0" fillId="0" borderId="0" xfId="0" applyNumberFormat="1"/>
    <xf numFmtId="165" fontId="8" fillId="0" borderId="7" xfId="1" applyNumberFormat="1" applyFont="1" applyBorder="1" applyAlignment="1">
      <alignment horizontal="right" vertical="top" wrapText="1"/>
    </xf>
    <xf numFmtId="0" fontId="6" fillId="0" borderId="8" xfId="0" applyNumberFormat="1" applyFont="1" applyBorder="1" applyAlignment="1">
      <alignment horizontal="right" vertical="top" wrapText="1"/>
    </xf>
    <xf numFmtId="165" fontId="8" fillId="0" borderId="9" xfId="1" applyNumberFormat="1" applyFont="1" applyBorder="1" applyAlignment="1">
      <alignment horizontal="right" vertical="top" wrapText="1"/>
    </xf>
    <xf numFmtId="165" fontId="8" fillId="0" borderId="10" xfId="1" applyNumberFormat="1" applyFont="1" applyBorder="1" applyAlignment="1">
      <alignment horizontal="right" vertical="top" wrapText="1"/>
    </xf>
    <xf numFmtId="0" fontId="9" fillId="2" borderId="8" xfId="0" applyNumberFormat="1" applyFont="1" applyFill="1" applyBorder="1" applyAlignment="1">
      <alignment horizontal="left" vertical="top" wrapText="1"/>
    </xf>
    <xf numFmtId="165" fontId="8" fillId="0" borderId="5" xfId="1" applyNumberFormat="1" applyFont="1" applyBorder="1" applyAlignment="1">
      <alignment horizontal="right" vertical="top" wrapText="1"/>
    </xf>
    <xf numFmtId="169" fontId="10" fillId="2" borderId="11" xfId="1" applyNumberFormat="1" applyFont="1" applyFill="1" applyBorder="1" applyAlignment="1">
      <alignment horizontal="right" vertical="top" wrapText="1"/>
    </xf>
    <xf numFmtId="0" fontId="0" fillId="3" borderId="12" xfId="0" applyNumberFormat="1" applyFill="1" applyBorder="1"/>
    <xf numFmtId="165" fontId="0" fillId="4" borderId="12" xfId="1" applyNumberFormat="1" applyFont="1" applyFill="1" applyBorder="1"/>
    <xf numFmtId="169" fontId="0" fillId="4" borderId="13" xfId="1" applyNumberFormat="1" applyFont="1" applyFill="1" applyBorder="1"/>
    <xf numFmtId="169" fontId="0" fillId="3" borderId="7" xfId="1" applyNumberFormat="1" applyFont="1" applyFill="1" applyBorder="1"/>
    <xf numFmtId="0" fontId="0" fillId="4" borderId="12" xfId="0" applyFill="1" applyBorder="1"/>
    <xf numFmtId="170" fontId="14" fillId="4" borderId="13" xfId="0" applyNumberFormat="1" applyFont="1" applyFill="1" applyBorder="1"/>
    <xf numFmtId="171" fontId="0" fillId="0" borderId="14" xfId="0" applyNumberFormat="1" applyBorder="1"/>
    <xf numFmtId="165" fontId="0" fillId="0" borderId="14" xfId="1" applyNumberFormat="1" applyFont="1" applyBorder="1"/>
    <xf numFmtId="0" fontId="0" fillId="0" borderId="14" xfId="0" applyBorder="1"/>
    <xf numFmtId="165" fontId="16" fillId="0" borderId="0" xfId="1" applyNumberFormat="1" applyFont="1"/>
    <xf numFmtId="171" fontId="0" fillId="0" borderId="15" xfId="0" applyNumberFormat="1" applyBorder="1"/>
    <xf numFmtId="165" fontId="0" fillId="0" borderId="16" xfId="1" applyNumberFormat="1" applyFont="1" applyBorder="1"/>
    <xf numFmtId="0" fontId="0" fillId="0" borderId="16" xfId="0" applyBorder="1"/>
    <xf numFmtId="165" fontId="0" fillId="0" borderId="17" xfId="1" applyNumberFormat="1" applyFont="1" applyBorder="1"/>
    <xf numFmtId="165" fontId="18" fillId="0" borderId="0" xfId="1" applyNumberFormat="1" applyFont="1"/>
    <xf numFmtId="0" fontId="0" fillId="5" borderId="17" xfId="0" applyFill="1" applyBorder="1"/>
    <xf numFmtId="0" fontId="0" fillId="0" borderId="14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4" xfId="0" applyBorder="1" applyAlignment="1">
      <alignment horizontal="left"/>
    </xf>
    <xf numFmtId="165" fontId="19" fillId="0" borderId="0" xfId="1" applyNumberFormat="1" applyFont="1"/>
    <xf numFmtId="0" fontId="15" fillId="0" borderId="0" xfId="0" applyFont="1"/>
    <xf numFmtId="171" fontId="20" fillId="0" borderId="14" xfId="0" applyNumberFormat="1" applyFont="1" applyBorder="1"/>
    <xf numFmtId="171" fontId="21" fillId="0" borderId="14" xfId="0" applyNumberFormat="1" applyFont="1" applyBorder="1"/>
    <xf numFmtId="171" fontId="22" fillId="0" borderId="14" xfId="0" applyNumberFormat="1" applyFont="1" applyBorder="1"/>
    <xf numFmtId="0" fontId="24" fillId="4" borderId="13" xfId="0" applyFont="1" applyFill="1" applyBorder="1"/>
    <xf numFmtId="0" fontId="0" fillId="0" borderId="0" xfId="0" applyBorder="1"/>
    <xf numFmtId="171" fontId="25" fillId="0" borderId="0" xfId="0" applyNumberFormat="1" applyFont="1" applyFill="1" applyBorder="1"/>
    <xf numFmtId="0" fontId="15" fillId="0" borderId="0" xfId="0" applyFont="1" applyFill="1" applyBorder="1"/>
    <xf numFmtId="0" fontId="0" fillId="0" borderId="18" xfId="0" applyBorder="1"/>
    <xf numFmtId="0" fontId="0" fillId="0" borderId="19" xfId="0" applyFill="1" applyBorder="1"/>
    <xf numFmtId="0" fontId="0" fillId="0" borderId="20" xfId="0" applyFill="1" applyBorder="1"/>
    <xf numFmtId="9" fontId="13" fillId="0" borderId="15" xfId="0" applyNumberFormat="1" applyFont="1" applyBorder="1" applyAlignment="1">
      <alignment horizontal="left"/>
    </xf>
    <xf numFmtId="165" fontId="0" fillId="0" borderId="14" xfId="1" applyNumberFormat="1" applyFont="1" applyBorder="1" applyAlignment="1">
      <alignment wrapText="1"/>
    </xf>
    <xf numFmtId="0" fontId="0" fillId="0" borderId="15" xfId="0" applyBorder="1"/>
    <xf numFmtId="0" fontId="15" fillId="5" borderId="19" xfId="0" applyFont="1" applyFill="1" applyBorder="1"/>
    <xf numFmtId="0" fontId="0" fillId="5" borderId="21" xfId="0" applyFill="1" applyBorder="1"/>
    <xf numFmtId="170" fontId="14" fillId="5" borderId="22" xfId="0" applyNumberFormat="1" applyFont="1" applyFill="1" applyBorder="1"/>
    <xf numFmtId="171" fontId="17" fillId="5" borderId="14" xfId="0" applyNumberFormat="1" applyFont="1" applyFill="1" applyBorder="1"/>
    <xf numFmtId="170" fontId="14" fillId="0" borderId="15" xfId="0" applyNumberFormat="1" applyFont="1" applyBorder="1"/>
    <xf numFmtId="170" fontId="20" fillId="0" borderId="15" xfId="0" applyNumberFormat="1" applyFont="1" applyBorder="1"/>
    <xf numFmtId="171" fontId="26" fillId="0" borderId="14" xfId="0" applyNumberFormat="1" applyFont="1" applyBorder="1"/>
    <xf numFmtId="0" fontId="27" fillId="0" borderId="0" xfId="0" applyFont="1" applyFill="1" applyBorder="1"/>
    <xf numFmtId="0" fontId="1" fillId="0" borderId="21" xfId="0" applyFont="1" applyBorder="1"/>
    <xf numFmtId="0" fontId="0" fillId="0" borderId="17" xfId="0" applyBorder="1" applyAlignment="1"/>
    <xf numFmtId="165" fontId="29" fillId="0" borderId="0" xfId="1" applyNumberFormat="1" applyFont="1"/>
    <xf numFmtId="0" fontId="16" fillId="0" borderId="0" xfId="0" applyFont="1" applyBorder="1"/>
    <xf numFmtId="169" fontId="0" fillId="0" borderId="14" xfId="0" applyNumberFormat="1" applyBorder="1"/>
    <xf numFmtId="0" fontId="0" fillId="0" borderId="17" xfId="0" applyBorder="1"/>
    <xf numFmtId="170" fontId="20" fillId="5" borderId="14" xfId="0" applyNumberFormat="1" applyFont="1" applyFill="1" applyBorder="1"/>
    <xf numFmtId="0" fontId="0" fillId="0" borderId="4" xfId="0" applyNumberFormat="1" applyBorder="1"/>
    <xf numFmtId="165" fontId="0" fillId="0" borderId="4" xfId="1" applyNumberFormat="1" applyFont="1" applyBorder="1"/>
    <xf numFmtId="0" fontId="0" fillId="0" borderId="17" xfId="0" applyFill="1" applyBorder="1"/>
    <xf numFmtId="9" fontId="0" fillId="0" borderId="14" xfId="0" applyNumberFormat="1" applyFill="1" applyBorder="1"/>
    <xf numFmtId="0" fontId="0" fillId="0" borderId="15" xfId="0" applyFill="1" applyBorder="1"/>
    <xf numFmtId="0" fontId="0" fillId="0" borderId="21" xfId="0" applyFill="1" applyBorder="1"/>
    <xf numFmtId="0" fontId="1" fillId="0" borderId="15" xfId="0" applyFont="1" applyBorder="1"/>
    <xf numFmtId="0" fontId="1" fillId="0" borderId="0" xfId="0" applyFont="1" applyFill="1"/>
    <xf numFmtId="0" fontId="28" fillId="0" borderId="0" xfId="0" applyFont="1" applyFill="1" applyBorder="1"/>
    <xf numFmtId="0" fontId="0" fillId="5" borderId="23" xfId="0" applyFill="1" applyBorder="1"/>
    <xf numFmtId="9" fontId="0" fillId="5" borderId="15" xfId="0" applyNumberFormat="1" applyFill="1" applyBorder="1"/>
    <xf numFmtId="0" fontId="0" fillId="0" borderId="24" xfId="0" applyBorder="1"/>
    <xf numFmtId="171" fontId="0" fillId="0" borderId="25" xfId="1" applyNumberFormat="1" applyFont="1" applyBorder="1"/>
    <xf numFmtId="171" fontId="2" fillId="0" borderId="7" xfId="0" applyNumberFormat="1" applyFont="1" applyBorder="1"/>
    <xf numFmtId="171" fontId="30" fillId="0" borderId="26" xfId="0" applyNumberFormat="1" applyFont="1" applyFill="1" applyBorder="1"/>
    <xf numFmtId="9" fontId="13" fillId="0" borderId="24" xfId="0" applyNumberFormat="1" applyFont="1" applyBorder="1" applyAlignment="1">
      <alignment horizontal="left"/>
    </xf>
    <xf numFmtId="171" fontId="30" fillId="0" borderId="14" xfId="0" applyNumberFormat="1" applyFont="1" applyBorder="1"/>
    <xf numFmtId="171" fontId="29" fillId="0" borderId="14" xfId="0" applyNumberFormat="1" applyFont="1" applyFill="1" applyBorder="1"/>
    <xf numFmtId="171" fontId="25" fillId="0" borderId="13" xfId="0" applyNumberFormat="1" applyFont="1" applyFill="1" applyBorder="1"/>
    <xf numFmtId="171" fontId="30" fillId="0" borderId="25" xfId="0" applyNumberFormat="1" applyFont="1" applyFill="1" applyBorder="1"/>
    <xf numFmtId="0" fontId="1" fillId="0" borderId="0" xfId="0" applyFont="1"/>
    <xf numFmtId="165" fontId="31" fillId="0" borderId="0" xfId="1" applyNumberFormat="1" applyFont="1"/>
    <xf numFmtId="165" fontId="1" fillId="0" borderId="0" xfId="1" applyNumberFormat="1" applyFont="1"/>
    <xf numFmtId="168" fontId="10" fillId="2" borderId="10" xfId="1" applyNumberFormat="1" applyFont="1" applyFill="1" applyBorder="1" applyAlignment="1">
      <alignment horizontal="right" vertical="top" wrapText="1"/>
    </xf>
    <xf numFmtId="43" fontId="0" fillId="0" borderId="10" xfId="1" applyNumberFormat="1" applyFont="1" applyBorder="1"/>
    <xf numFmtId="0" fontId="0" fillId="5" borderId="0" xfId="0" applyFill="1" applyBorder="1"/>
    <xf numFmtId="0" fontId="0" fillId="5" borderId="0" xfId="0" applyFill="1"/>
    <xf numFmtId="0" fontId="0" fillId="0" borderId="18" xfId="0" applyFill="1" applyBorder="1"/>
    <xf numFmtId="170" fontId="14" fillId="0" borderId="0" xfId="0" applyNumberFormat="1" applyFont="1" applyFill="1" applyBorder="1"/>
    <xf numFmtId="0" fontId="0" fillId="0" borderId="0" xfId="0" applyFill="1"/>
    <xf numFmtId="0" fontId="24" fillId="0" borderId="0" xfId="0" applyFont="1" applyFill="1" applyBorder="1"/>
    <xf numFmtId="166" fontId="0" fillId="0" borderId="0" xfId="0" applyNumberFormat="1" applyBorder="1"/>
    <xf numFmtId="167" fontId="0" fillId="0" borderId="0" xfId="0" applyNumberFormat="1" applyBorder="1"/>
    <xf numFmtId="173" fontId="21" fillId="0" borderId="14" xfId="0" applyNumberFormat="1" applyFont="1" applyFill="1" applyBorder="1"/>
    <xf numFmtId="173" fontId="20" fillId="0" borderId="14" xfId="0" applyNumberFormat="1" applyFont="1" applyFill="1" applyBorder="1"/>
    <xf numFmtId="173" fontId="29" fillId="0" borderId="14" xfId="0" applyNumberFormat="1" applyFont="1" applyBorder="1"/>
    <xf numFmtId="171" fontId="25" fillId="0" borderId="14" xfId="0" applyNumberFormat="1" applyFont="1" applyFill="1" applyBorder="1"/>
    <xf numFmtId="173" fontId="14" fillId="0" borderId="14" xfId="0" applyNumberFormat="1" applyFont="1" applyBorder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topLeftCell="A750" workbookViewId="0">
      <selection activeCell="F736" sqref="F736"/>
    </sheetView>
  </sheetViews>
  <sheetFormatPr defaultRowHeight="15"/>
  <cols>
    <col min="1" max="1" width="10.28515625" customWidth="1"/>
    <col min="2" max="2" width="5.7109375" style="6" customWidth="1"/>
    <col min="3" max="3" width="7.5703125" style="11" customWidth="1"/>
    <col min="4" max="4" width="25.5703125" style="11" customWidth="1"/>
    <col min="5" max="5" width="35.28515625" customWidth="1"/>
    <col min="6" max="6" width="14.42578125" customWidth="1"/>
    <col min="7" max="7" width="9.140625" customWidth="1"/>
    <col min="8" max="8" width="19.28515625" customWidth="1"/>
    <col min="9" max="9" width="19.140625" customWidth="1"/>
    <col min="10" max="10" width="4.7109375" customWidth="1"/>
    <col min="11" max="11" width="11" customWidth="1"/>
  </cols>
  <sheetData>
    <row r="1" spans="1:10" ht="20.25">
      <c r="A1" s="122"/>
      <c r="B1" s="122"/>
      <c r="C1" s="122"/>
      <c r="D1" s="7"/>
      <c r="H1" s="60"/>
      <c r="I1" s="60"/>
      <c r="J1" s="60"/>
    </row>
    <row r="2" spans="1:10">
      <c r="A2" s="123"/>
      <c r="B2" s="123"/>
      <c r="C2" s="123"/>
      <c r="D2" s="8"/>
      <c r="H2" s="60"/>
      <c r="I2" s="60"/>
      <c r="J2" s="60"/>
    </row>
    <row r="3" spans="1:10" ht="25.5">
      <c r="A3" s="1" t="s">
        <v>1</v>
      </c>
      <c r="B3" s="4" t="s">
        <v>2</v>
      </c>
      <c r="C3" s="9" t="s">
        <v>3</v>
      </c>
      <c r="D3" s="22" t="s">
        <v>36</v>
      </c>
      <c r="F3" s="20" t="s">
        <v>35</v>
      </c>
      <c r="H3" s="60"/>
      <c r="I3" s="60"/>
      <c r="J3" s="60"/>
    </row>
    <row r="4" spans="1:10">
      <c r="A4" s="2" t="s">
        <v>4</v>
      </c>
      <c r="B4" s="5">
        <v>0</v>
      </c>
      <c r="C4" s="10">
        <v>0.191</v>
      </c>
      <c r="D4" s="24">
        <f>C4*400</f>
        <v>76.400000000000006</v>
      </c>
      <c r="F4">
        <v>1</v>
      </c>
      <c r="H4" s="60"/>
      <c r="I4" s="60"/>
      <c r="J4" s="60"/>
    </row>
    <row r="5" spans="1:10">
      <c r="A5" s="2" t="s">
        <v>4</v>
      </c>
      <c r="B5" s="5">
        <v>1</v>
      </c>
      <c r="C5" s="10">
        <v>0.19800000000000001</v>
      </c>
      <c r="D5" s="24">
        <f t="shared" ref="D5:D68" si="0">C5*400</f>
        <v>79.2</v>
      </c>
      <c r="F5">
        <v>1</v>
      </c>
      <c r="H5" s="60"/>
      <c r="I5" s="60"/>
      <c r="J5" s="60"/>
    </row>
    <row r="6" spans="1:10">
      <c r="A6" s="2" t="s">
        <v>4</v>
      </c>
      <c r="B6" s="5">
        <v>2</v>
      </c>
      <c r="C6" s="10">
        <v>0.193</v>
      </c>
      <c r="D6" s="24">
        <f t="shared" si="0"/>
        <v>77.2</v>
      </c>
      <c r="F6">
        <v>1</v>
      </c>
      <c r="H6" s="60"/>
      <c r="I6" s="60"/>
      <c r="J6" s="60"/>
    </row>
    <row r="7" spans="1:10">
      <c r="A7" s="2" t="s">
        <v>4</v>
      </c>
      <c r="B7" s="5">
        <v>3</v>
      </c>
      <c r="C7" s="10">
        <v>0.19700000000000001</v>
      </c>
      <c r="D7" s="24">
        <f t="shared" si="0"/>
        <v>78.8</v>
      </c>
      <c r="F7">
        <v>1</v>
      </c>
      <c r="H7" s="60"/>
      <c r="I7" s="60"/>
      <c r="J7" s="60"/>
    </row>
    <row r="8" spans="1:10">
      <c r="A8" s="2" t="s">
        <v>4</v>
      </c>
      <c r="B8" s="5">
        <v>4</v>
      </c>
      <c r="C8" s="10">
        <v>0.19400000000000001</v>
      </c>
      <c r="D8" s="24">
        <f t="shared" si="0"/>
        <v>77.600000000000009</v>
      </c>
      <c r="F8">
        <v>1</v>
      </c>
      <c r="H8" s="60"/>
      <c r="I8" s="60"/>
      <c r="J8" s="60"/>
    </row>
    <row r="9" spans="1:10">
      <c r="A9" s="2" t="s">
        <v>4</v>
      </c>
      <c r="B9" s="5">
        <v>5</v>
      </c>
      <c r="C9" s="10">
        <v>0.19600000000000001</v>
      </c>
      <c r="D9" s="24">
        <f t="shared" si="0"/>
        <v>78.400000000000006</v>
      </c>
      <c r="F9">
        <v>1</v>
      </c>
      <c r="H9" s="60"/>
      <c r="I9" s="60"/>
      <c r="J9" s="60"/>
    </row>
    <row r="10" spans="1:10">
      <c r="A10" s="2" t="s">
        <v>4</v>
      </c>
      <c r="B10" s="5">
        <v>6</v>
      </c>
      <c r="C10" s="10">
        <v>0.191</v>
      </c>
      <c r="D10" s="24">
        <f t="shared" si="0"/>
        <v>76.400000000000006</v>
      </c>
      <c r="F10">
        <v>1</v>
      </c>
      <c r="H10" s="60"/>
      <c r="I10" s="60"/>
      <c r="J10" s="60"/>
    </row>
    <row r="11" spans="1:10">
      <c r="A11" s="2" t="s">
        <v>4</v>
      </c>
      <c r="B11" s="5">
        <v>7</v>
      </c>
      <c r="C11" s="10">
        <v>0.252</v>
      </c>
      <c r="D11" s="24">
        <f t="shared" si="0"/>
        <v>100.8</v>
      </c>
      <c r="F11">
        <v>1</v>
      </c>
      <c r="H11" s="60"/>
      <c r="I11" s="60"/>
      <c r="J11" s="60"/>
    </row>
    <row r="12" spans="1:10">
      <c r="A12" s="2" t="s">
        <v>4</v>
      </c>
      <c r="B12" s="5">
        <v>8</v>
      </c>
      <c r="C12" s="10">
        <v>0.27500000000000002</v>
      </c>
      <c r="D12" s="24">
        <f t="shared" si="0"/>
        <v>110.00000000000001</v>
      </c>
      <c r="F12">
        <v>1</v>
      </c>
      <c r="H12" s="60"/>
      <c r="I12" s="60"/>
      <c r="J12" s="60"/>
    </row>
    <row r="13" spans="1:10">
      <c r="A13" s="2" t="s">
        <v>4</v>
      </c>
      <c r="B13" s="5">
        <v>9</v>
      </c>
      <c r="C13" s="10">
        <v>0.34799999999999998</v>
      </c>
      <c r="D13" s="24">
        <f t="shared" si="0"/>
        <v>139.19999999999999</v>
      </c>
      <c r="F13">
        <v>1</v>
      </c>
      <c r="H13" s="60"/>
      <c r="I13" s="60"/>
      <c r="J13" s="60"/>
    </row>
    <row r="14" spans="1:10">
      <c r="A14" s="2" t="s">
        <v>4</v>
      </c>
      <c r="B14" s="5">
        <v>10</v>
      </c>
      <c r="C14" s="10">
        <v>0.35399999999999998</v>
      </c>
      <c r="D14" s="24">
        <f t="shared" si="0"/>
        <v>141.6</v>
      </c>
      <c r="F14">
        <v>1</v>
      </c>
      <c r="H14" s="60"/>
      <c r="I14" s="60"/>
      <c r="J14" s="60"/>
    </row>
    <row r="15" spans="1:10">
      <c r="A15" s="2" t="s">
        <v>4</v>
      </c>
      <c r="B15" s="5">
        <v>11</v>
      </c>
      <c r="C15" s="10">
        <v>0.34699999999999998</v>
      </c>
      <c r="D15" s="24">
        <f t="shared" si="0"/>
        <v>138.79999999999998</v>
      </c>
      <c r="F15">
        <v>1</v>
      </c>
      <c r="H15" s="60"/>
      <c r="I15" s="60"/>
      <c r="J15" s="60"/>
    </row>
    <row r="16" spans="1:10">
      <c r="A16" s="2" t="s">
        <v>4</v>
      </c>
      <c r="B16" s="5">
        <v>12</v>
      </c>
      <c r="C16" s="10">
        <v>0.35</v>
      </c>
      <c r="D16" s="24">
        <f t="shared" si="0"/>
        <v>140</v>
      </c>
      <c r="F16">
        <v>1</v>
      </c>
      <c r="H16" s="60"/>
      <c r="I16" s="60"/>
      <c r="J16" s="60"/>
    </row>
    <row r="17" spans="1:10">
      <c r="A17" s="2" t="s">
        <v>4</v>
      </c>
      <c r="B17" s="5">
        <v>13</v>
      </c>
      <c r="C17" s="10">
        <v>0.34300000000000003</v>
      </c>
      <c r="D17" s="24">
        <f t="shared" si="0"/>
        <v>137.20000000000002</v>
      </c>
      <c r="F17">
        <v>1</v>
      </c>
      <c r="H17" s="60"/>
      <c r="I17" s="60"/>
      <c r="J17" s="60"/>
    </row>
    <row r="18" spans="1:10">
      <c r="A18" s="2" t="s">
        <v>4</v>
      </c>
      <c r="B18" s="5">
        <v>14</v>
      </c>
      <c r="C18" s="10">
        <v>0.33700000000000002</v>
      </c>
      <c r="D18" s="24">
        <f t="shared" si="0"/>
        <v>134.80000000000001</v>
      </c>
      <c r="F18">
        <v>1</v>
      </c>
      <c r="H18" s="60"/>
      <c r="I18" s="60"/>
      <c r="J18" s="60"/>
    </row>
    <row r="19" spans="1:10">
      <c r="A19" s="2" t="s">
        <v>4</v>
      </c>
      <c r="B19" s="5">
        <v>15</v>
      </c>
      <c r="C19" s="10">
        <v>0.311</v>
      </c>
      <c r="D19" s="24">
        <f t="shared" si="0"/>
        <v>124.4</v>
      </c>
      <c r="F19">
        <v>1</v>
      </c>
      <c r="H19" s="60"/>
      <c r="I19" s="60"/>
      <c r="J19" s="60"/>
    </row>
    <row r="20" spans="1:10">
      <c r="A20" s="2" t="s">
        <v>4</v>
      </c>
      <c r="B20" s="5">
        <v>16</v>
      </c>
      <c r="C20" s="10">
        <v>0.35499999999999998</v>
      </c>
      <c r="D20" s="24">
        <f t="shared" si="0"/>
        <v>142</v>
      </c>
      <c r="F20">
        <v>1</v>
      </c>
      <c r="H20" s="60"/>
      <c r="I20" s="60"/>
      <c r="J20" s="60"/>
    </row>
    <row r="21" spans="1:10">
      <c r="A21" s="2" t="s">
        <v>4</v>
      </c>
      <c r="B21" s="5">
        <v>17</v>
      </c>
      <c r="C21" s="10">
        <v>0.35299999999999998</v>
      </c>
      <c r="D21" s="24">
        <f t="shared" si="0"/>
        <v>141.19999999999999</v>
      </c>
      <c r="F21">
        <v>1</v>
      </c>
      <c r="H21" s="60"/>
      <c r="I21" s="60"/>
      <c r="J21" s="60"/>
    </row>
    <row r="22" spans="1:10">
      <c r="A22" s="2" t="s">
        <v>4</v>
      </c>
      <c r="B22" s="5">
        <v>18</v>
      </c>
      <c r="C22" s="10">
        <v>0.34</v>
      </c>
      <c r="D22" s="24">
        <f t="shared" si="0"/>
        <v>136</v>
      </c>
      <c r="F22">
        <v>1</v>
      </c>
      <c r="H22" s="60"/>
      <c r="I22" s="60"/>
      <c r="J22" s="60"/>
    </row>
    <row r="23" spans="1:10">
      <c r="A23" s="2" t="s">
        <v>4</v>
      </c>
      <c r="B23" s="5">
        <v>19</v>
      </c>
      <c r="C23" s="10">
        <v>0.20100000000000001</v>
      </c>
      <c r="D23" s="24">
        <f t="shared" si="0"/>
        <v>80.400000000000006</v>
      </c>
      <c r="F23">
        <v>1</v>
      </c>
      <c r="H23" s="60"/>
      <c r="I23" s="60"/>
      <c r="J23" s="60"/>
    </row>
    <row r="24" spans="1:10">
      <c r="A24" s="2" t="s">
        <v>4</v>
      </c>
      <c r="B24" s="5">
        <v>20</v>
      </c>
      <c r="C24" s="10">
        <v>0.193</v>
      </c>
      <c r="D24" s="24">
        <f t="shared" si="0"/>
        <v>77.2</v>
      </c>
      <c r="F24">
        <v>1</v>
      </c>
      <c r="H24" s="60"/>
      <c r="I24" s="60"/>
      <c r="J24" s="60"/>
    </row>
    <row r="25" spans="1:10">
      <c r="A25" s="2" t="s">
        <v>4</v>
      </c>
      <c r="B25" s="5">
        <v>21</v>
      </c>
      <c r="C25" s="10">
        <v>0.186</v>
      </c>
      <c r="D25" s="24">
        <f t="shared" si="0"/>
        <v>74.400000000000006</v>
      </c>
      <c r="F25">
        <v>1</v>
      </c>
      <c r="H25" s="60"/>
      <c r="I25" s="60"/>
      <c r="J25" s="60"/>
    </row>
    <row r="26" spans="1:10">
      <c r="A26" s="2" t="s">
        <v>4</v>
      </c>
      <c r="B26" s="5">
        <v>22</v>
      </c>
      <c r="C26" s="10">
        <v>0.189</v>
      </c>
      <c r="D26" s="24">
        <f t="shared" si="0"/>
        <v>75.599999999999994</v>
      </c>
      <c r="E26" t="s">
        <v>34</v>
      </c>
      <c r="F26">
        <v>1</v>
      </c>
      <c r="H26" s="60"/>
      <c r="I26" s="60"/>
      <c r="J26" s="60"/>
    </row>
    <row r="27" spans="1:10" ht="15.75" thickBot="1">
      <c r="A27" s="15" t="s">
        <v>4</v>
      </c>
      <c r="B27" s="16">
        <v>23</v>
      </c>
      <c r="C27" s="17">
        <v>0.192</v>
      </c>
      <c r="D27" s="25">
        <f t="shared" si="0"/>
        <v>76.8</v>
      </c>
      <c r="E27" s="26">
        <f>AVERAGE(D4:D27)</f>
        <v>104.76666666666667</v>
      </c>
      <c r="F27" s="18">
        <v>1</v>
      </c>
      <c r="G27" s="18"/>
      <c r="H27" s="115"/>
      <c r="I27" s="60"/>
      <c r="J27" s="116"/>
    </row>
    <row r="28" spans="1:10" ht="15.75" thickTop="1">
      <c r="A28" s="12" t="s">
        <v>5</v>
      </c>
      <c r="B28" s="13">
        <v>0</v>
      </c>
      <c r="C28" s="14">
        <v>0.186</v>
      </c>
      <c r="D28" s="24">
        <f>C28*400</f>
        <v>74.400000000000006</v>
      </c>
      <c r="F28" s="21">
        <v>1</v>
      </c>
      <c r="H28" s="60"/>
      <c r="I28" s="60"/>
      <c r="J28" s="60"/>
    </row>
    <row r="29" spans="1:10">
      <c r="A29" s="2" t="s">
        <v>5</v>
      </c>
      <c r="B29" s="5">
        <v>1</v>
      </c>
      <c r="C29" s="10">
        <v>0.193</v>
      </c>
      <c r="D29" s="24">
        <f t="shared" si="0"/>
        <v>77.2</v>
      </c>
      <c r="F29" s="21">
        <v>1</v>
      </c>
      <c r="H29" s="60"/>
      <c r="I29" s="60"/>
      <c r="J29" s="60"/>
    </row>
    <row r="30" spans="1:10">
      <c r="A30" s="2" t="s">
        <v>5</v>
      </c>
      <c r="B30" s="5">
        <v>2</v>
      </c>
      <c r="C30" s="10">
        <v>0.191</v>
      </c>
      <c r="D30" s="24">
        <f t="shared" si="0"/>
        <v>76.400000000000006</v>
      </c>
      <c r="F30" s="21">
        <v>1</v>
      </c>
      <c r="H30" s="60"/>
      <c r="I30" s="60"/>
      <c r="J30" s="60"/>
    </row>
    <row r="31" spans="1:10">
      <c r="A31" s="2" t="s">
        <v>5</v>
      </c>
      <c r="B31" s="5">
        <v>3</v>
      </c>
      <c r="C31" s="10">
        <v>0.19500000000000001</v>
      </c>
      <c r="D31" s="24">
        <f t="shared" si="0"/>
        <v>78</v>
      </c>
      <c r="F31" s="21">
        <v>1</v>
      </c>
      <c r="H31" s="60"/>
      <c r="I31" s="60"/>
      <c r="J31" s="60"/>
    </row>
    <row r="32" spans="1:10">
      <c r="A32" s="2" t="s">
        <v>5</v>
      </c>
      <c r="B32" s="5">
        <v>4</v>
      </c>
      <c r="C32" s="10">
        <v>0.189</v>
      </c>
      <c r="D32" s="24">
        <f t="shared" si="0"/>
        <v>75.599999999999994</v>
      </c>
      <c r="F32" s="21">
        <v>1</v>
      </c>
      <c r="H32" s="60"/>
      <c r="I32" s="60"/>
      <c r="J32" s="60"/>
    </row>
    <row r="33" spans="1:10">
      <c r="A33" s="2" t="s">
        <v>5</v>
      </c>
      <c r="B33" s="5">
        <v>5</v>
      </c>
      <c r="C33" s="10">
        <v>0.19400000000000001</v>
      </c>
      <c r="D33" s="24">
        <f t="shared" si="0"/>
        <v>77.600000000000009</v>
      </c>
      <c r="F33" s="21">
        <v>1</v>
      </c>
      <c r="H33" s="60"/>
      <c r="I33" s="60"/>
      <c r="J33" s="60"/>
    </row>
    <row r="34" spans="1:10">
      <c r="A34" s="2" t="s">
        <v>5</v>
      </c>
      <c r="B34" s="5">
        <v>6</v>
      </c>
      <c r="C34" s="10">
        <v>0.19700000000000001</v>
      </c>
      <c r="D34" s="24">
        <f t="shared" si="0"/>
        <v>78.8</v>
      </c>
      <c r="F34" s="21">
        <v>1</v>
      </c>
      <c r="H34" s="60"/>
      <c r="I34" s="60"/>
      <c r="J34" s="60"/>
    </row>
    <row r="35" spans="1:10">
      <c r="A35" s="2" t="s">
        <v>5</v>
      </c>
      <c r="B35" s="5">
        <v>7</v>
      </c>
      <c r="C35" s="10">
        <v>0.20399999999999999</v>
      </c>
      <c r="D35" s="24">
        <f t="shared" si="0"/>
        <v>81.599999999999994</v>
      </c>
      <c r="F35" s="21">
        <v>1</v>
      </c>
      <c r="H35" s="60"/>
      <c r="I35" s="60"/>
      <c r="J35" s="60"/>
    </row>
    <row r="36" spans="1:10">
      <c r="A36" s="2" t="s">
        <v>5</v>
      </c>
      <c r="B36" s="5">
        <v>8</v>
      </c>
      <c r="C36" s="10">
        <v>0.35699999999999998</v>
      </c>
      <c r="D36" s="24">
        <f t="shared" si="0"/>
        <v>142.79999999999998</v>
      </c>
      <c r="F36" s="21">
        <v>1</v>
      </c>
      <c r="H36" s="60"/>
      <c r="I36" s="60"/>
      <c r="J36" s="60"/>
    </row>
    <row r="37" spans="1:10">
      <c r="A37" s="2" t="s">
        <v>5</v>
      </c>
      <c r="B37" s="5">
        <v>9</v>
      </c>
      <c r="C37" s="10">
        <v>0.44</v>
      </c>
      <c r="D37" s="24">
        <f t="shared" si="0"/>
        <v>176</v>
      </c>
      <c r="F37" s="21">
        <v>1.5</v>
      </c>
      <c r="H37" s="60"/>
      <c r="I37" s="60"/>
      <c r="J37" s="60"/>
    </row>
    <row r="38" spans="1:10">
      <c r="A38" s="2" t="s">
        <v>5</v>
      </c>
      <c r="B38" s="5">
        <v>10</v>
      </c>
      <c r="C38" s="10">
        <v>0.45600000000000002</v>
      </c>
      <c r="D38" s="24">
        <f t="shared" si="0"/>
        <v>182.4</v>
      </c>
      <c r="F38" s="21">
        <v>1.5</v>
      </c>
      <c r="H38" s="60"/>
      <c r="I38" s="60"/>
      <c r="J38" s="60"/>
    </row>
    <row r="39" spans="1:10">
      <c r="A39" s="2" t="s">
        <v>5</v>
      </c>
      <c r="B39" s="5">
        <v>11</v>
      </c>
      <c r="C39" s="10">
        <v>0.45600000000000002</v>
      </c>
      <c r="D39" s="24">
        <f t="shared" si="0"/>
        <v>182.4</v>
      </c>
      <c r="F39" s="21">
        <v>1.5</v>
      </c>
      <c r="H39" s="60"/>
      <c r="I39" s="60"/>
      <c r="J39" s="60"/>
    </row>
    <row r="40" spans="1:10">
      <c r="A40" s="2" t="s">
        <v>5</v>
      </c>
      <c r="B40" s="5">
        <v>12</v>
      </c>
      <c r="C40" s="10">
        <v>0.45800000000000002</v>
      </c>
      <c r="D40" s="24">
        <f t="shared" si="0"/>
        <v>183.20000000000002</v>
      </c>
      <c r="F40" s="21">
        <v>1.5</v>
      </c>
      <c r="H40" s="60"/>
      <c r="I40" s="60"/>
      <c r="J40" s="60"/>
    </row>
    <row r="41" spans="1:10">
      <c r="A41" s="2" t="s">
        <v>5</v>
      </c>
      <c r="B41" s="5">
        <v>13</v>
      </c>
      <c r="C41" s="10">
        <v>0.45900000000000002</v>
      </c>
      <c r="D41" s="24">
        <f t="shared" si="0"/>
        <v>183.6</v>
      </c>
      <c r="F41" s="21">
        <v>1.5</v>
      </c>
      <c r="H41" s="60"/>
      <c r="I41" s="60"/>
      <c r="J41" s="60"/>
    </row>
    <row r="42" spans="1:10">
      <c r="A42" s="2" t="s">
        <v>5</v>
      </c>
      <c r="B42" s="5">
        <v>14</v>
      </c>
      <c r="C42" s="10">
        <v>0.48199999999999998</v>
      </c>
      <c r="D42" s="24">
        <f t="shared" si="0"/>
        <v>192.79999999999998</v>
      </c>
      <c r="F42" s="21">
        <v>1.5</v>
      </c>
      <c r="H42" s="60"/>
      <c r="I42" s="60"/>
      <c r="J42" s="60"/>
    </row>
    <row r="43" spans="1:10">
      <c r="A43" s="2" t="s">
        <v>5</v>
      </c>
      <c r="B43" s="5">
        <v>15</v>
      </c>
      <c r="C43" s="10">
        <v>0.46899999999999997</v>
      </c>
      <c r="D43" s="24">
        <f t="shared" si="0"/>
        <v>187.6</v>
      </c>
      <c r="F43" s="21">
        <v>1.5</v>
      </c>
      <c r="H43" s="60"/>
      <c r="I43" s="60"/>
      <c r="J43" s="60"/>
    </row>
    <row r="44" spans="1:10">
      <c r="A44" s="2" t="s">
        <v>5</v>
      </c>
      <c r="B44" s="5">
        <v>16</v>
      </c>
      <c r="C44" s="10">
        <v>0.42899999999999999</v>
      </c>
      <c r="D44" s="24">
        <f t="shared" si="0"/>
        <v>171.6</v>
      </c>
      <c r="F44" s="21">
        <v>1.5</v>
      </c>
      <c r="H44" s="60"/>
      <c r="I44" s="60"/>
      <c r="J44" s="60"/>
    </row>
    <row r="45" spans="1:10">
      <c r="A45" s="2" t="s">
        <v>5</v>
      </c>
      <c r="B45" s="5">
        <v>17</v>
      </c>
      <c r="C45" s="10">
        <v>0.373</v>
      </c>
      <c r="D45" s="24">
        <f t="shared" si="0"/>
        <v>149.19999999999999</v>
      </c>
      <c r="F45" s="21">
        <v>1.5</v>
      </c>
      <c r="H45" s="60"/>
      <c r="I45" s="60"/>
      <c r="J45" s="60"/>
    </row>
    <row r="46" spans="1:10">
      <c r="A46" s="2" t="s">
        <v>5</v>
      </c>
      <c r="B46" s="5">
        <v>18</v>
      </c>
      <c r="C46" s="10">
        <v>0.38500000000000001</v>
      </c>
      <c r="D46" s="24">
        <f t="shared" si="0"/>
        <v>154</v>
      </c>
      <c r="F46" s="21">
        <v>1.5</v>
      </c>
      <c r="H46" s="60"/>
      <c r="I46" s="60"/>
      <c r="J46" s="60"/>
    </row>
    <row r="47" spans="1:10">
      <c r="A47" s="2" t="s">
        <v>5</v>
      </c>
      <c r="B47" s="5">
        <v>19</v>
      </c>
      <c r="C47" s="10">
        <v>0.214</v>
      </c>
      <c r="D47" s="24">
        <f t="shared" si="0"/>
        <v>85.6</v>
      </c>
      <c r="F47" s="21">
        <v>1</v>
      </c>
      <c r="H47" s="60"/>
      <c r="I47" s="60"/>
      <c r="J47" s="60"/>
    </row>
    <row r="48" spans="1:10">
      <c r="A48" s="2" t="s">
        <v>5</v>
      </c>
      <c r="B48" s="5">
        <v>20</v>
      </c>
      <c r="C48" s="10">
        <v>0.19600000000000001</v>
      </c>
      <c r="D48" s="24">
        <f t="shared" si="0"/>
        <v>78.400000000000006</v>
      </c>
      <c r="F48" s="21">
        <v>1</v>
      </c>
      <c r="H48" s="60"/>
      <c r="I48" s="60"/>
      <c r="J48" s="60"/>
    </row>
    <row r="49" spans="1:10">
      <c r="A49" s="2" t="s">
        <v>5</v>
      </c>
      <c r="B49" s="5">
        <v>21</v>
      </c>
      <c r="C49" s="10">
        <v>0.19</v>
      </c>
      <c r="D49" s="24">
        <f t="shared" si="0"/>
        <v>76</v>
      </c>
      <c r="F49" s="21">
        <v>1</v>
      </c>
      <c r="H49" s="60"/>
      <c r="I49" s="60"/>
      <c r="J49" s="60"/>
    </row>
    <row r="50" spans="1:10">
      <c r="A50" s="2" t="s">
        <v>5</v>
      </c>
      <c r="B50" s="5">
        <v>22</v>
      </c>
      <c r="C50" s="10">
        <v>0.19400000000000001</v>
      </c>
      <c r="D50" s="24">
        <f t="shared" si="0"/>
        <v>77.600000000000009</v>
      </c>
      <c r="E50" t="s">
        <v>34</v>
      </c>
      <c r="F50">
        <v>1</v>
      </c>
      <c r="H50" s="60"/>
      <c r="I50" s="60"/>
      <c r="J50" s="60"/>
    </row>
    <row r="51" spans="1:10" ht="15.75" thickBot="1">
      <c r="A51" s="15" t="s">
        <v>5</v>
      </c>
      <c r="B51" s="16">
        <v>23</v>
      </c>
      <c r="C51" s="17">
        <v>0.19700000000000001</v>
      </c>
      <c r="D51" s="25">
        <f t="shared" si="0"/>
        <v>78.8</v>
      </c>
      <c r="E51" s="26">
        <f>AVERAGE(D28:D51)</f>
        <v>121.73333333333333</v>
      </c>
      <c r="F51" s="18">
        <v>1</v>
      </c>
      <c r="G51" s="18"/>
      <c r="H51" s="115"/>
      <c r="I51" s="60"/>
      <c r="J51" s="116"/>
    </row>
    <row r="52" spans="1:10" ht="15.75" thickTop="1">
      <c r="A52" s="12" t="s">
        <v>6</v>
      </c>
      <c r="B52" s="13">
        <v>0</v>
      </c>
      <c r="C52" s="14">
        <v>0.19400000000000001</v>
      </c>
      <c r="D52" s="24">
        <f>C52*400</f>
        <v>77.600000000000009</v>
      </c>
      <c r="H52" s="60"/>
      <c r="I52" s="60"/>
      <c r="J52" s="60"/>
    </row>
    <row r="53" spans="1:10">
      <c r="A53" s="2" t="s">
        <v>6</v>
      </c>
      <c r="B53" s="5">
        <v>1</v>
      </c>
      <c r="C53" s="10">
        <v>0.20100000000000001</v>
      </c>
      <c r="D53" s="24">
        <f t="shared" si="0"/>
        <v>80.400000000000006</v>
      </c>
      <c r="H53" s="60"/>
      <c r="I53" s="60"/>
      <c r="J53" s="60"/>
    </row>
    <row r="54" spans="1:10">
      <c r="A54" s="2" t="s">
        <v>6</v>
      </c>
      <c r="B54" s="5">
        <v>2</v>
      </c>
      <c r="C54" s="10">
        <v>0.193</v>
      </c>
      <c r="D54" s="24">
        <f t="shared" si="0"/>
        <v>77.2</v>
      </c>
      <c r="H54" s="60"/>
      <c r="I54" s="60"/>
      <c r="J54" s="60"/>
    </row>
    <row r="55" spans="1:10">
      <c r="A55" s="2" t="s">
        <v>6</v>
      </c>
      <c r="B55" s="5">
        <v>3</v>
      </c>
      <c r="C55" s="10">
        <v>0.19700000000000001</v>
      </c>
      <c r="D55" s="24">
        <f t="shared" si="0"/>
        <v>78.8</v>
      </c>
      <c r="H55" s="60"/>
      <c r="I55" s="60"/>
      <c r="J55" s="60"/>
    </row>
    <row r="56" spans="1:10">
      <c r="A56" s="2" t="s">
        <v>6</v>
      </c>
      <c r="B56" s="5">
        <v>4</v>
      </c>
      <c r="C56" s="10">
        <v>0.19600000000000001</v>
      </c>
      <c r="D56" s="24">
        <f t="shared" si="0"/>
        <v>78.400000000000006</v>
      </c>
      <c r="H56" s="60"/>
      <c r="I56" s="60"/>
      <c r="J56" s="60"/>
    </row>
    <row r="57" spans="1:10">
      <c r="A57" s="2" t="s">
        <v>6</v>
      </c>
      <c r="B57" s="5">
        <v>5</v>
      </c>
      <c r="C57" s="10">
        <v>0.189</v>
      </c>
      <c r="D57" s="24">
        <f t="shared" si="0"/>
        <v>75.599999999999994</v>
      </c>
      <c r="H57" s="60"/>
      <c r="I57" s="60"/>
      <c r="J57" s="60"/>
    </row>
    <row r="58" spans="1:10">
      <c r="A58" s="2" t="s">
        <v>6</v>
      </c>
      <c r="B58" s="5">
        <v>6</v>
      </c>
      <c r="C58" s="10">
        <v>0.19600000000000001</v>
      </c>
      <c r="D58" s="24">
        <f t="shared" si="0"/>
        <v>78.400000000000006</v>
      </c>
      <c r="H58" s="60"/>
      <c r="I58" s="60"/>
      <c r="J58" s="60"/>
    </row>
    <row r="59" spans="1:10">
      <c r="A59" s="2" t="s">
        <v>6</v>
      </c>
      <c r="B59" s="5">
        <v>7</v>
      </c>
      <c r="C59" s="10">
        <v>0.27600000000000002</v>
      </c>
      <c r="D59" s="24">
        <f t="shared" si="0"/>
        <v>110.4</v>
      </c>
      <c r="H59" s="60"/>
      <c r="I59" s="60"/>
      <c r="J59" s="60"/>
    </row>
    <row r="60" spans="1:10">
      <c r="A60" s="2" t="s">
        <v>6</v>
      </c>
      <c r="B60" s="5">
        <v>8</v>
      </c>
      <c r="C60" s="10">
        <v>0.37</v>
      </c>
      <c r="D60" s="24">
        <f t="shared" si="0"/>
        <v>148</v>
      </c>
      <c r="H60" s="60"/>
      <c r="I60" s="60"/>
      <c r="J60" s="60"/>
    </row>
    <row r="61" spans="1:10">
      <c r="A61" s="2" t="s">
        <v>6</v>
      </c>
      <c r="B61" s="5">
        <v>9</v>
      </c>
      <c r="C61" s="10">
        <v>0.52900000000000003</v>
      </c>
      <c r="D61" s="24">
        <f t="shared" si="0"/>
        <v>211.60000000000002</v>
      </c>
      <c r="H61" s="60"/>
      <c r="I61" s="60"/>
      <c r="J61" s="60"/>
    </row>
    <row r="62" spans="1:10">
      <c r="A62" s="2" t="s">
        <v>6</v>
      </c>
      <c r="B62" s="5">
        <v>10</v>
      </c>
      <c r="C62" s="10">
        <v>0.53800000000000003</v>
      </c>
      <c r="D62" s="24">
        <f t="shared" si="0"/>
        <v>215.20000000000002</v>
      </c>
      <c r="H62" s="60"/>
      <c r="I62" s="60"/>
      <c r="J62" s="60"/>
    </row>
    <row r="63" spans="1:10">
      <c r="A63" s="2" t="s">
        <v>6</v>
      </c>
      <c r="B63" s="5">
        <v>11</v>
      </c>
      <c r="C63" s="10">
        <v>0.65400000000000003</v>
      </c>
      <c r="D63" s="24">
        <f t="shared" si="0"/>
        <v>261.60000000000002</v>
      </c>
      <c r="H63" s="60"/>
      <c r="I63" s="60"/>
      <c r="J63" s="60"/>
    </row>
    <row r="64" spans="1:10">
      <c r="A64" s="2" t="s">
        <v>6</v>
      </c>
      <c r="B64" s="5">
        <v>12</v>
      </c>
      <c r="C64" s="10">
        <v>0.64500000000000002</v>
      </c>
      <c r="D64" s="24">
        <f t="shared" si="0"/>
        <v>258</v>
      </c>
      <c r="H64" s="60"/>
      <c r="I64" s="60"/>
      <c r="J64" s="60"/>
    </row>
    <row r="65" spans="1:10">
      <c r="A65" s="2" t="s">
        <v>6</v>
      </c>
      <c r="B65" s="5">
        <v>13</v>
      </c>
      <c r="C65" s="10">
        <v>0.56000000000000005</v>
      </c>
      <c r="D65" s="24">
        <f t="shared" si="0"/>
        <v>224.00000000000003</v>
      </c>
      <c r="H65" s="60"/>
      <c r="I65" s="60"/>
      <c r="J65" s="60"/>
    </row>
    <row r="66" spans="1:10">
      <c r="A66" s="2" t="s">
        <v>6</v>
      </c>
      <c r="B66" s="5">
        <v>14</v>
      </c>
      <c r="C66" s="10">
        <v>0.64700000000000002</v>
      </c>
      <c r="D66" s="24">
        <f t="shared" si="0"/>
        <v>258.8</v>
      </c>
      <c r="H66" s="60"/>
      <c r="I66" s="60"/>
      <c r="J66" s="60"/>
    </row>
    <row r="67" spans="1:10">
      <c r="A67" s="2" t="s">
        <v>6</v>
      </c>
      <c r="B67" s="5">
        <v>15</v>
      </c>
      <c r="C67" s="10">
        <v>0.66600000000000004</v>
      </c>
      <c r="D67" s="24">
        <f t="shared" si="0"/>
        <v>266.40000000000003</v>
      </c>
      <c r="H67" s="60"/>
      <c r="I67" s="60"/>
      <c r="J67" s="60"/>
    </row>
    <row r="68" spans="1:10">
      <c r="A68" s="2" t="s">
        <v>6</v>
      </c>
      <c r="B68" s="5">
        <v>16</v>
      </c>
      <c r="C68" s="10">
        <v>0.59199999999999997</v>
      </c>
      <c r="D68" s="24">
        <f t="shared" si="0"/>
        <v>236.79999999999998</v>
      </c>
      <c r="H68" s="60"/>
      <c r="I68" s="60"/>
      <c r="J68" s="60"/>
    </row>
    <row r="69" spans="1:10">
      <c r="A69" s="2" t="s">
        <v>6</v>
      </c>
      <c r="B69" s="5">
        <v>17</v>
      </c>
      <c r="C69" s="10">
        <v>0.55200000000000005</v>
      </c>
      <c r="D69" s="24">
        <f t="shared" ref="D69:D75" si="1">C69*400</f>
        <v>220.8</v>
      </c>
      <c r="H69" s="60"/>
      <c r="I69" s="60"/>
      <c r="J69" s="60"/>
    </row>
    <row r="70" spans="1:10">
      <c r="A70" s="2" t="s">
        <v>6</v>
      </c>
      <c r="B70" s="5">
        <v>18</v>
      </c>
      <c r="C70" s="10">
        <v>0.436</v>
      </c>
      <c r="D70" s="24">
        <f t="shared" si="1"/>
        <v>174.4</v>
      </c>
      <c r="H70" s="60"/>
      <c r="I70" s="60"/>
      <c r="J70" s="60"/>
    </row>
    <row r="71" spans="1:10">
      <c r="A71" s="2" t="s">
        <v>6</v>
      </c>
      <c r="B71" s="5">
        <v>19</v>
      </c>
      <c r="C71" s="10">
        <v>0.189</v>
      </c>
      <c r="D71" s="24">
        <f t="shared" si="1"/>
        <v>75.599999999999994</v>
      </c>
      <c r="H71" s="60"/>
      <c r="I71" s="60"/>
      <c r="J71" s="60"/>
    </row>
    <row r="72" spans="1:10">
      <c r="A72" s="2" t="s">
        <v>6</v>
      </c>
      <c r="B72" s="5">
        <v>20</v>
      </c>
      <c r="C72" s="10">
        <v>5.0000000000000001E-3</v>
      </c>
      <c r="D72" s="24">
        <f t="shared" si="1"/>
        <v>2</v>
      </c>
      <c r="H72" s="60"/>
      <c r="I72" s="60"/>
      <c r="J72" s="60"/>
    </row>
    <row r="73" spans="1:10">
      <c r="A73" s="2" t="s">
        <v>6</v>
      </c>
      <c r="B73" s="5">
        <v>21</v>
      </c>
      <c r="C73" s="10">
        <v>2E-3</v>
      </c>
      <c r="D73" s="24">
        <f t="shared" si="1"/>
        <v>0.8</v>
      </c>
      <c r="H73" s="60"/>
      <c r="I73" s="60"/>
      <c r="J73" s="60"/>
    </row>
    <row r="74" spans="1:10">
      <c r="A74" s="2" t="s">
        <v>6</v>
      </c>
      <c r="B74" s="5">
        <v>22</v>
      </c>
      <c r="C74" s="10">
        <v>1E-3</v>
      </c>
      <c r="D74" s="24">
        <f t="shared" si="1"/>
        <v>0.4</v>
      </c>
      <c r="E74" t="s">
        <v>34</v>
      </c>
      <c r="F74">
        <v>1</v>
      </c>
      <c r="H74" s="60"/>
      <c r="I74" s="60"/>
      <c r="J74" s="60"/>
    </row>
    <row r="75" spans="1:10" ht="15.75" thickBot="1">
      <c r="A75" s="15" t="s">
        <v>6</v>
      </c>
      <c r="B75" s="16">
        <v>23</v>
      </c>
      <c r="C75" s="17">
        <v>2E-3</v>
      </c>
      <c r="D75" s="25">
        <f t="shared" si="1"/>
        <v>0.8</v>
      </c>
      <c r="E75" s="26">
        <f>AVERAGE(D52:D75)</f>
        <v>133.83333333333337</v>
      </c>
      <c r="F75" s="18">
        <v>1</v>
      </c>
      <c r="G75" s="18"/>
      <c r="H75" s="115"/>
      <c r="I75" s="60"/>
      <c r="J75" s="116"/>
    </row>
    <row r="76" spans="1:10" ht="15.75" thickTop="1">
      <c r="A76" s="12" t="s">
        <v>7</v>
      </c>
      <c r="B76" s="13">
        <v>0</v>
      </c>
      <c r="C76" s="14">
        <v>1E-3</v>
      </c>
      <c r="D76" s="24">
        <f>C76*400</f>
        <v>0.4</v>
      </c>
      <c r="H76" s="60"/>
      <c r="I76" s="60"/>
      <c r="J76" s="60"/>
    </row>
    <row r="77" spans="1:10">
      <c r="A77" s="2" t="s">
        <v>7</v>
      </c>
      <c r="B77" s="5">
        <v>1</v>
      </c>
      <c r="C77" s="10">
        <v>3.0000000000000001E-3</v>
      </c>
      <c r="D77" s="24">
        <f t="shared" ref="D77:D140" si="2">C77*400</f>
        <v>1.2</v>
      </c>
      <c r="H77" s="60"/>
      <c r="I77" s="60"/>
      <c r="J77" s="60"/>
    </row>
    <row r="78" spans="1:10">
      <c r="A78" s="2" t="s">
        <v>7</v>
      </c>
      <c r="B78" s="5">
        <v>2</v>
      </c>
      <c r="C78" s="10">
        <v>1E-3</v>
      </c>
      <c r="D78" s="24">
        <f t="shared" si="2"/>
        <v>0.4</v>
      </c>
      <c r="H78" s="60"/>
      <c r="I78" s="60"/>
      <c r="J78" s="60"/>
    </row>
    <row r="79" spans="1:10">
      <c r="A79" s="2" t="s">
        <v>7</v>
      </c>
      <c r="B79" s="5">
        <v>3</v>
      </c>
      <c r="C79" s="10">
        <v>2E-3</v>
      </c>
      <c r="D79" s="24">
        <f t="shared" si="2"/>
        <v>0.8</v>
      </c>
      <c r="H79" s="60"/>
      <c r="I79" s="60"/>
      <c r="J79" s="60"/>
    </row>
    <row r="80" spans="1:10">
      <c r="A80" s="2" t="s">
        <v>7</v>
      </c>
      <c r="B80" s="5">
        <v>4</v>
      </c>
      <c r="C80" s="10">
        <v>1E-3</v>
      </c>
      <c r="D80" s="24">
        <f t="shared" si="2"/>
        <v>0.4</v>
      </c>
      <c r="H80" s="60"/>
      <c r="I80" s="60"/>
      <c r="J80" s="60"/>
    </row>
    <row r="81" spans="1:10">
      <c r="A81" s="2" t="s">
        <v>7</v>
      </c>
      <c r="B81" s="5">
        <v>5</v>
      </c>
      <c r="C81" s="10">
        <v>2E-3</v>
      </c>
      <c r="D81" s="24">
        <f t="shared" si="2"/>
        <v>0.8</v>
      </c>
      <c r="H81" s="60"/>
      <c r="I81" s="60"/>
      <c r="J81" s="60"/>
    </row>
    <row r="82" spans="1:10">
      <c r="A82" s="2" t="s">
        <v>7</v>
      </c>
      <c r="B82" s="5">
        <v>6</v>
      </c>
      <c r="C82" s="10">
        <v>2E-3</v>
      </c>
      <c r="D82" s="24">
        <f t="shared" si="2"/>
        <v>0.8</v>
      </c>
      <c r="H82" s="60"/>
      <c r="I82" s="60"/>
      <c r="J82" s="60"/>
    </row>
    <row r="83" spans="1:10">
      <c r="A83" s="2" t="s">
        <v>7</v>
      </c>
      <c r="B83" s="5">
        <v>7</v>
      </c>
      <c r="C83" s="10">
        <v>0.152</v>
      </c>
      <c r="D83" s="24">
        <f t="shared" si="2"/>
        <v>60.8</v>
      </c>
      <c r="H83" s="60"/>
      <c r="I83" s="60"/>
      <c r="J83" s="60"/>
    </row>
    <row r="84" spans="1:10">
      <c r="A84" s="2" t="s">
        <v>7</v>
      </c>
      <c r="B84" s="5">
        <v>8</v>
      </c>
      <c r="C84" s="10">
        <v>0.32100000000000001</v>
      </c>
      <c r="D84" s="24">
        <f t="shared" si="2"/>
        <v>128.4</v>
      </c>
      <c r="H84" s="60"/>
      <c r="I84" s="60"/>
      <c r="J84" s="60"/>
    </row>
    <row r="85" spans="1:10">
      <c r="A85" s="2" t="s">
        <v>7</v>
      </c>
      <c r="B85" s="5">
        <v>9</v>
      </c>
      <c r="C85" s="10">
        <v>0.41299999999999998</v>
      </c>
      <c r="D85" s="24">
        <f t="shared" si="2"/>
        <v>165.2</v>
      </c>
      <c r="H85" s="60"/>
      <c r="I85" s="60"/>
      <c r="J85" s="60"/>
    </row>
    <row r="86" spans="1:10">
      <c r="A86" s="2" t="s">
        <v>7</v>
      </c>
      <c r="B86" s="5">
        <v>10</v>
      </c>
      <c r="C86" s="10">
        <v>0.48499999999999999</v>
      </c>
      <c r="D86" s="24">
        <f t="shared" si="2"/>
        <v>194</v>
      </c>
      <c r="H86" s="60"/>
      <c r="I86" s="60"/>
      <c r="J86" s="60"/>
    </row>
    <row r="87" spans="1:10">
      <c r="A87" s="2" t="s">
        <v>7</v>
      </c>
      <c r="B87" s="5">
        <v>11</v>
      </c>
      <c r="C87" s="10">
        <v>0.52800000000000002</v>
      </c>
      <c r="D87" s="24">
        <f t="shared" si="2"/>
        <v>211.20000000000002</v>
      </c>
      <c r="H87" s="60"/>
      <c r="I87" s="60"/>
      <c r="J87" s="60"/>
    </row>
    <row r="88" spans="1:10">
      <c r="A88" s="2" t="s">
        <v>7</v>
      </c>
      <c r="B88" s="5">
        <v>12</v>
      </c>
      <c r="C88" s="10">
        <v>0.501</v>
      </c>
      <c r="D88" s="24">
        <f t="shared" si="2"/>
        <v>200.4</v>
      </c>
      <c r="H88" s="60"/>
      <c r="I88" s="60"/>
      <c r="J88" s="60"/>
    </row>
    <row r="89" spans="1:10">
      <c r="A89" s="2" t="s">
        <v>7</v>
      </c>
      <c r="B89" s="5">
        <v>13</v>
      </c>
      <c r="C89" s="10">
        <v>0.48899999999999999</v>
      </c>
      <c r="D89" s="24">
        <f t="shared" si="2"/>
        <v>195.6</v>
      </c>
      <c r="H89" s="60"/>
      <c r="I89" s="60"/>
      <c r="J89" s="60"/>
    </row>
    <row r="90" spans="1:10">
      <c r="A90" s="2" t="s">
        <v>7</v>
      </c>
      <c r="B90" s="5">
        <v>14</v>
      </c>
      <c r="C90" s="10">
        <v>0.57399999999999995</v>
      </c>
      <c r="D90" s="24">
        <f t="shared" si="2"/>
        <v>229.6</v>
      </c>
      <c r="H90" s="60"/>
      <c r="I90" s="60"/>
      <c r="J90" s="60"/>
    </row>
    <row r="91" spans="1:10">
      <c r="A91" s="2" t="s">
        <v>7</v>
      </c>
      <c r="B91" s="5">
        <v>15</v>
      </c>
      <c r="C91" s="10">
        <v>0.54</v>
      </c>
      <c r="D91" s="24">
        <f t="shared" si="2"/>
        <v>216</v>
      </c>
      <c r="H91" s="60"/>
      <c r="I91" s="60"/>
      <c r="J91" s="60"/>
    </row>
    <row r="92" spans="1:10">
      <c r="A92" s="2" t="s">
        <v>7</v>
      </c>
      <c r="B92" s="5">
        <v>16</v>
      </c>
      <c r="C92" s="10">
        <v>0.42799999999999999</v>
      </c>
      <c r="D92" s="24">
        <f t="shared" si="2"/>
        <v>171.2</v>
      </c>
      <c r="H92" s="60"/>
      <c r="I92" s="60"/>
      <c r="J92" s="60"/>
    </row>
    <row r="93" spans="1:10">
      <c r="A93" s="2" t="s">
        <v>7</v>
      </c>
      <c r="B93" s="5">
        <v>17</v>
      </c>
      <c r="C93" s="10">
        <v>0.38700000000000001</v>
      </c>
      <c r="D93" s="24">
        <f t="shared" si="2"/>
        <v>154.80000000000001</v>
      </c>
      <c r="H93" s="60"/>
      <c r="I93" s="60"/>
      <c r="J93" s="60"/>
    </row>
    <row r="94" spans="1:10">
      <c r="A94" s="2" t="s">
        <v>7</v>
      </c>
      <c r="B94" s="5">
        <v>18</v>
      </c>
      <c r="C94" s="10">
        <v>0.31</v>
      </c>
      <c r="D94" s="24">
        <f t="shared" si="2"/>
        <v>124</v>
      </c>
      <c r="H94" s="60"/>
      <c r="I94" s="60"/>
      <c r="J94" s="60"/>
    </row>
    <row r="95" spans="1:10">
      <c r="A95" s="2" t="s">
        <v>7</v>
      </c>
      <c r="B95" s="5">
        <v>19</v>
      </c>
      <c r="C95" s="10">
        <v>0.13500000000000001</v>
      </c>
      <c r="D95" s="24">
        <f t="shared" si="2"/>
        <v>54</v>
      </c>
      <c r="H95" s="60"/>
      <c r="I95" s="60"/>
      <c r="J95" s="60"/>
    </row>
    <row r="96" spans="1:10">
      <c r="A96" s="2" t="s">
        <v>7</v>
      </c>
      <c r="B96" s="5">
        <v>20</v>
      </c>
      <c r="C96" s="10">
        <v>3.0000000000000001E-3</v>
      </c>
      <c r="D96" s="24">
        <f t="shared" si="2"/>
        <v>1.2</v>
      </c>
      <c r="H96" s="60"/>
      <c r="I96" s="60"/>
      <c r="J96" s="60"/>
    </row>
    <row r="97" spans="1:10">
      <c r="A97" s="2" t="s">
        <v>7</v>
      </c>
      <c r="B97" s="5">
        <v>21</v>
      </c>
      <c r="C97" s="10">
        <v>1E-3</v>
      </c>
      <c r="D97" s="24">
        <f t="shared" si="2"/>
        <v>0.4</v>
      </c>
      <c r="H97" s="60"/>
      <c r="I97" s="60"/>
      <c r="J97" s="60"/>
    </row>
    <row r="98" spans="1:10">
      <c r="A98" s="2" t="s">
        <v>7</v>
      </c>
      <c r="B98" s="5">
        <v>22</v>
      </c>
      <c r="C98" s="10">
        <v>2E-3</v>
      </c>
      <c r="D98" s="24">
        <f t="shared" si="2"/>
        <v>0.8</v>
      </c>
      <c r="E98" t="s">
        <v>34</v>
      </c>
      <c r="F98">
        <v>1</v>
      </c>
      <c r="H98" s="60"/>
      <c r="I98" s="60"/>
      <c r="J98" s="60"/>
    </row>
    <row r="99" spans="1:10" ht="15.75" thickBot="1">
      <c r="A99" s="15" t="s">
        <v>7</v>
      </c>
      <c r="B99" s="16">
        <v>23</v>
      </c>
      <c r="C99" s="17">
        <v>2E-3</v>
      </c>
      <c r="D99" s="25">
        <f t="shared" si="2"/>
        <v>0.8</v>
      </c>
      <c r="E99" s="26">
        <f>AVERAGE(D76:D99)</f>
        <v>88.050000000000011</v>
      </c>
      <c r="F99" s="18">
        <v>1</v>
      </c>
      <c r="G99" s="18"/>
      <c r="H99" s="115"/>
      <c r="I99" s="60"/>
      <c r="J99" s="116"/>
    </row>
    <row r="100" spans="1:10" ht="15.75" thickTop="1">
      <c r="A100" s="12" t="s">
        <v>8</v>
      </c>
      <c r="B100" s="13">
        <v>0</v>
      </c>
      <c r="C100" s="14">
        <v>2E-3</v>
      </c>
      <c r="D100" s="24">
        <f>C100*400</f>
        <v>0.8</v>
      </c>
      <c r="H100" s="60"/>
      <c r="I100" s="60"/>
      <c r="J100" s="60"/>
    </row>
    <row r="101" spans="1:10">
      <c r="A101" s="2" t="s">
        <v>8</v>
      </c>
      <c r="B101" s="5">
        <v>1</v>
      </c>
      <c r="C101" s="10">
        <v>1E-3</v>
      </c>
      <c r="D101" s="24">
        <f t="shared" si="2"/>
        <v>0.4</v>
      </c>
      <c r="H101" s="60"/>
      <c r="I101" s="60"/>
      <c r="J101" s="60"/>
    </row>
    <row r="102" spans="1:10">
      <c r="A102" s="2" t="s">
        <v>8</v>
      </c>
      <c r="B102" s="5">
        <v>2</v>
      </c>
      <c r="C102" s="10">
        <v>1E-3</v>
      </c>
      <c r="D102" s="24">
        <f t="shared" si="2"/>
        <v>0.4</v>
      </c>
      <c r="H102" s="60"/>
      <c r="I102" s="60"/>
      <c r="J102" s="60"/>
    </row>
    <row r="103" spans="1:10">
      <c r="A103" s="2" t="s">
        <v>8</v>
      </c>
      <c r="B103" s="5">
        <v>3</v>
      </c>
      <c r="C103" s="10">
        <v>3.0000000000000001E-3</v>
      </c>
      <c r="D103" s="24">
        <f t="shared" si="2"/>
        <v>1.2</v>
      </c>
      <c r="H103" s="60"/>
      <c r="I103" s="60"/>
      <c r="J103" s="60"/>
    </row>
    <row r="104" spans="1:10">
      <c r="A104" s="2" t="s">
        <v>8</v>
      </c>
      <c r="B104" s="5">
        <v>4</v>
      </c>
      <c r="C104" s="10">
        <v>3.0000000000000001E-3</v>
      </c>
      <c r="D104" s="24">
        <f t="shared" si="2"/>
        <v>1.2</v>
      </c>
      <c r="H104" s="60"/>
      <c r="I104" s="60"/>
      <c r="J104" s="60"/>
    </row>
    <row r="105" spans="1:10">
      <c r="A105" s="2" t="s">
        <v>8</v>
      </c>
      <c r="B105" s="5">
        <v>5</v>
      </c>
      <c r="C105" s="10">
        <v>3.0000000000000001E-3</v>
      </c>
      <c r="D105" s="24">
        <f t="shared" si="2"/>
        <v>1.2</v>
      </c>
      <c r="H105" s="60"/>
      <c r="I105" s="60"/>
      <c r="J105" s="60"/>
    </row>
    <row r="106" spans="1:10">
      <c r="A106" s="2" t="s">
        <v>8</v>
      </c>
      <c r="B106" s="5">
        <v>6</v>
      </c>
      <c r="C106" s="10">
        <v>2E-3</v>
      </c>
      <c r="D106" s="24">
        <f t="shared" si="2"/>
        <v>0.8</v>
      </c>
      <c r="H106" s="60"/>
      <c r="I106" s="60"/>
      <c r="J106" s="60"/>
    </row>
    <row r="107" spans="1:10">
      <c r="A107" s="2" t="s">
        <v>8</v>
      </c>
      <c r="B107" s="5">
        <v>7</v>
      </c>
      <c r="C107" s="10">
        <v>0.158</v>
      </c>
      <c r="D107" s="24">
        <f t="shared" si="2"/>
        <v>63.2</v>
      </c>
      <c r="H107" s="60"/>
      <c r="I107" s="60"/>
      <c r="J107" s="60"/>
    </row>
    <row r="108" spans="1:10">
      <c r="A108" s="2" t="s">
        <v>8</v>
      </c>
      <c r="B108" s="5">
        <v>8</v>
      </c>
      <c r="C108" s="10">
        <v>0.28000000000000003</v>
      </c>
      <c r="D108" s="24">
        <f t="shared" si="2"/>
        <v>112.00000000000001</v>
      </c>
      <c r="H108" s="60"/>
      <c r="I108" s="60"/>
      <c r="J108" s="60"/>
    </row>
    <row r="109" spans="1:10">
      <c r="A109" s="2" t="s">
        <v>8</v>
      </c>
      <c r="B109" s="5">
        <v>9</v>
      </c>
      <c r="C109" s="10">
        <v>0.53600000000000003</v>
      </c>
      <c r="D109" s="24">
        <f t="shared" si="2"/>
        <v>214.4</v>
      </c>
      <c r="H109" s="60"/>
      <c r="I109" s="60"/>
      <c r="J109" s="60"/>
    </row>
    <row r="110" spans="1:10">
      <c r="A110" s="2" t="s">
        <v>8</v>
      </c>
      <c r="B110" s="5">
        <v>10</v>
      </c>
      <c r="C110" s="10">
        <v>0.65800000000000003</v>
      </c>
      <c r="D110" s="24">
        <f t="shared" si="2"/>
        <v>263.2</v>
      </c>
      <c r="H110" s="60"/>
      <c r="I110" s="60"/>
      <c r="J110" s="60"/>
    </row>
    <row r="111" spans="1:10">
      <c r="A111" s="2" t="s">
        <v>8</v>
      </c>
      <c r="B111" s="5">
        <v>11</v>
      </c>
      <c r="C111" s="10">
        <v>0.624</v>
      </c>
      <c r="D111" s="24">
        <f t="shared" si="2"/>
        <v>249.6</v>
      </c>
      <c r="H111" s="60"/>
      <c r="I111" s="60"/>
      <c r="J111" s="60"/>
    </row>
    <row r="112" spans="1:10">
      <c r="A112" s="2" t="s">
        <v>8</v>
      </c>
      <c r="B112" s="5">
        <v>12</v>
      </c>
      <c r="C112" s="10">
        <v>0.64</v>
      </c>
      <c r="D112" s="24">
        <f t="shared" si="2"/>
        <v>256</v>
      </c>
    </row>
    <row r="113" spans="1:6">
      <c r="A113" s="2" t="s">
        <v>8</v>
      </c>
      <c r="B113" s="5">
        <v>13</v>
      </c>
      <c r="C113" s="10">
        <v>0.6</v>
      </c>
      <c r="D113" s="24">
        <f t="shared" si="2"/>
        <v>240</v>
      </c>
    </row>
    <row r="114" spans="1:6">
      <c r="A114" s="2" t="s">
        <v>8</v>
      </c>
      <c r="B114" s="5">
        <v>14</v>
      </c>
      <c r="C114" s="10">
        <v>0.629</v>
      </c>
      <c r="D114" s="24">
        <f t="shared" si="2"/>
        <v>251.6</v>
      </c>
    </row>
    <row r="115" spans="1:6">
      <c r="A115" s="2" t="s">
        <v>8</v>
      </c>
      <c r="B115" s="5">
        <v>15</v>
      </c>
      <c r="C115" s="10">
        <v>0.627</v>
      </c>
      <c r="D115" s="24">
        <f t="shared" si="2"/>
        <v>250.8</v>
      </c>
      <c r="F115" s="27">
        <f>200*0.8*2-D115</f>
        <v>69.199999999999989</v>
      </c>
    </row>
    <row r="116" spans="1:6">
      <c r="A116" s="2" t="s">
        <v>8</v>
      </c>
      <c r="B116" s="5">
        <v>16</v>
      </c>
      <c r="C116" s="10">
        <v>0.55100000000000005</v>
      </c>
      <c r="D116" s="24">
        <f t="shared" si="2"/>
        <v>220.4</v>
      </c>
    </row>
    <row r="117" spans="1:6">
      <c r="A117" s="2" t="s">
        <v>8</v>
      </c>
      <c r="B117" s="5">
        <v>17</v>
      </c>
      <c r="C117" s="10">
        <v>0.57199999999999995</v>
      </c>
      <c r="D117" s="24">
        <f t="shared" si="2"/>
        <v>228.79999999999998</v>
      </c>
    </row>
    <row r="118" spans="1:6">
      <c r="A118" s="2" t="s">
        <v>8</v>
      </c>
      <c r="B118" s="5">
        <v>18</v>
      </c>
      <c r="C118" s="10">
        <v>0.43</v>
      </c>
      <c r="D118" s="24">
        <f t="shared" si="2"/>
        <v>172</v>
      </c>
    </row>
    <row r="119" spans="1:6">
      <c r="A119" s="2" t="s">
        <v>8</v>
      </c>
      <c r="B119" s="5">
        <v>19</v>
      </c>
      <c r="C119" s="10">
        <v>0.19700000000000001</v>
      </c>
      <c r="D119" s="24">
        <f t="shared" si="2"/>
        <v>78.8</v>
      </c>
    </row>
    <row r="120" spans="1:6">
      <c r="A120" s="2" t="s">
        <v>8</v>
      </c>
      <c r="B120" s="5">
        <v>20</v>
      </c>
      <c r="C120" s="10">
        <v>0.18099999999999999</v>
      </c>
      <c r="D120" s="24">
        <f t="shared" si="2"/>
        <v>72.399999999999991</v>
      </c>
    </row>
    <row r="121" spans="1:6">
      <c r="A121" s="2" t="s">
        <v>8</v>
      </c>
      <c r="B121" s="5">
        <v>21</v>
      </c>
      <c r="C121" s="10">
        <v>0.17399999999999999</v>
      </c>
      <c r="D121" s="24">
        <f t="shared" si="2"/>
        <v>69.599999999999994</v>
      </c>
    </row>
    <row r="122" spans="1:6">
      <c r="A122" s="2" t="s">
        <v>8</v>
      </c>
      <c r="B122" s="5">
        <v>22</v>
      </c>
      <c r="C122" s="10">
        <v>0.17599999999999999</v>
      </c>
      <c r="D122" s="24">
        <f t="shared" si="2"/>
        <v>70.399999999999991</v>
      </c>
      <c r="E122" t="s">
        <v>34</v>
      </c>
    </row>
    <row r="123" spans="1:6" ht="15.75" thickBot="1">
      <c r="A123" s="15" t="s">
        <v>8</v>
      </c>
      <c r="B123" s="16">
        <v>23</v>
      </c>
      <c r="C123" s="17">
        <v>0.17799999999999999</v>
      </c>
      <c r="D123" s="25">
        <f t="shared" si="2"/>
        <v>71.2</v>
      </c>
      <c r="E123" s="26">
        <f>AVERAGE(D100:D123)</f>
        <v>120.43333333333334</v>
      </c>
    </row>
    <row r="124" spans="1:6" ht="15.75" thickTop="1">
      <c r="A124" s="12" t="s">
        <v>9</v>
      </c>
      <c r="B124" s="13">
        <v>0</v>
      </c>
      <c r="C124" s="14">
        <v>0.18</v>
      </c>
      <c r="D124" s="24">
        <f>C124*400</f>
        <v>72</v>
      </c>
    </row>
    <row r="125" spans="1:6">
      <c r="A125" s="2" t="s">
        <v>9</v>
      </c>
      <c r="B125" s="5">
        <v>1</v>
      </c>
      <c r="C125" s="10">
        <v>0.17599999999999999</v>
      </c>
      <c r="D125" s="24">
        <f t="shared" si="2"/>
        <v>70.399999999999991</v>
      </c>
    </row>
    <row r="126" spans="1:6">
      <c r="A126" s="2" t="s">
        <v>9</v>
      </c>
      <c r="B126" s="5">
        <v>2</v>
      </c>
      <c r="C126" s="10">
        <v>0.17699999999999999</v>
      </c>
      <c r="D126" s="24">
        <f t="shared" si="2"/>
        <v>70.8</v>
      </c>
    </row>
    <row r="127" spans="1:6">
      <c r="A127" s="2" t="s">
        <v>9</v>
      </c>
      <c r="B127" s="5">
        <v>3</v>
      </c>
      <c r="C127" s="10">
        <v>0.17499999999999999</v>
      </c>
      <c r="D127" s="24">
        <f t="shared" si="2"/>
        <v>70</v>
      </c>
    </row>
    <row r="128" spans="1:6">
      <c r="A128" s="2" t="s">
        <v>9</v>
      </c>
      <c r="B128" s="5">
        <v>4</v>
      </c>
      <c r="C128" s="10">
        <v>0.17599999999999999</v>
      </c>
      <c r="D128" s="24">
        <f t="shared" si="2"/>
        <v>70.399999999999991</v>
      </c>
    </row>
    <row r="129" spans="1:4">
      <c r="A129" s="2" t="s">
        <v>9</v>
      </c>
      <c r="B129" s="5">
        <v>5</v>
      </c>
      <c r="C129" s="10">
        <v>0.17599999999999999</v>
      </c>
      <c r="D129" s="24">
        <f t="shared" si="2"/>
        <v>70.399999999999991</v>
      </c>
    </row>
    <row r="130" spans="1:4">
      <c r="A130" s="2" t="s">
        <v>9</v>
      </c>
      <c r="B130" s="5">
        <v>6</v>
      </c>
      <c r="C130" s="10">
        <v>0.17799999999999999</v>
      </c>
      <c r="D130" s="24">
        <f t="shared" si="2"/>
        <v>71.2</v>
      </c>
    </row>
    <row r="131" spans="1:4">
      <c r="A131" s="2" t="s">
        <v>9</v>
      </c>
      <c r="B131" s="5">
        <v>7</v>
      </c>
      <c r="C131" s="10">
        <v>0.29099999999999998</v>
      </c>
      <c r="D131" s="24">
        <f t="shared" si="2"/>
        <v>116.39999999999999</v>
      </c>
    </row>
    <row r="132" spans="1:4">
      <c r="A132" s="2" t="s">
        <v>9</v>
      </c>
      <c r="B132" s="5">
        <v>8</v>
      </c>
      <c r="C132" s="10">
        <v>0.45600000000000002</v>
      </c>
      <c r="D132" s="24">
        <f t="shared" si="2"/>
        <v>182.4</v>
      </c>
    </row>
    <row r="133" spans="1:4">
      <c r="A133" s="2" t="s">
        <v>9</v>
      </c>
      <c r="B133" s="5">
        <v>9</v>
      </c>
      <c r="C133" s="10">
        <v>0.66300000000000003</v>
      </c>
      <c r="D133" s="24">
        <f t="shared" si="2"/>
        <v>265.2</v>
      </c>
    </row>
    <row r="134" spans="1:4">
      <c r="A134" s="2" t="s">
        <v>9</v>
      </c>
      <c r="B134" s="5">
        <v>10</v>
      </c>
      <c r="C134" s="10">
        <v>0.66600000000000004</v>
      </c>
      <c r="D134" s="24">
        <f t="shared" si="2"/>
        <v>266.40000000000003</v>
      </c>
    </row>
    <row r="135" spans="1:4">
      <c r="A135" s="2" t="s">
        <v>9</v>
      </c>
      <c r="B135" s="5">
        <v>11</v>
      </c>
      <c r="C135" s="10">
        <v>0.59799999999999998</v>
      </c>
      <c r="D135" s="24">
        <f t="shared" si="2"/>
        <v>239.2</v>
      </c>
    </row>
    <row r="136" spans="1:4">
      <c r="A136" s="2" t="s">
        <v>9</v>
      </c>
      <c r="B136" s="5">
        <v>12</v>
      </c>
      <c r="C136" s="10">
        <v>0.52900000000000003</v>
      </c>
      <c r="D136" s="24">
        <f t="shared" si="2"/>
        <v>211.60000000000002</v>
      </c>
    </row>
    <row r="137" spans="1:4">
      <c r="A137" s="2" t="s">
        <v>9</v>
      </c>
      <c r="B137" s="5">
        <v>13</v>
      </c>
      <c r="C137" s="10">
        <v>0.58499999999999996</v>
      </c>
      <c r="D137" s="24">
        <f t="shared" si="2"/>
        <v>234</v>
      </c>
    </row>
    <row r="138" spans="1:4">
      <c r="A138" s="2" t="s">
        <v>9</v>
      </c>
      <c r="B138" s="5">
        <v>14</v>
      </c>
      <c r="C138" s="10">
        <v>0.60699999999999998</v>
      </c>
      <c r="D138" s="24">
        <f t="shared" si="2"/>
        <v>242.79999999999998</v>
      </c>
    </row>
    <row r="139" spans="1:4">
      <c r="A139" s="2" t="s">
        <v>9</v>
      </c>
      <c r="B139" s="5">
        <v>15</v>
      </c>
      <c r="C139" s="10">
        <v>0.57999999999999996</v>
      </c>
      <c r="D139" s="24">
        <f t="shared" si="2"/>
        <v>231.99999999999997</v>
      </c>
    </row>
    <row r="140" spans="1:4">
      <c r="A140" s="2" t="s">
        <v>9</v>
      </c>
      <c r="B140" s="5">
        <v>16</v>
      </c>
      <c r="C140" s="10">
        <v>0.53</v>
      </c>
      <c r="D140" s="24">
        <f t="shared" si="2"/>
        <v>212</v>
      </c>
    </row>
    <row r="141" spans="1:4">
      <c r="A141" s="2" t="s">
        <v>9</v>
      </c>
      <c r="B141" s="5">
        <v>17</v>
      </c>
      <c r="C141" s="10">
        <v>0.5</v>
      </c>
      <c r="D141" s="24">
        <f t="shared" ref="D141:D147" si="3">C141*400</f>
        <v>200</v>
      </c>
    </row>
    <row r="142" spans="1:4">
      <c r="A142" s="2" t="s">
        <v>9</v>
      </c>
      <c r="B142" s="5">
        <v>18</v>
      </c>
      <c r="C142" s="10">
        <v>0.36</v>
      </c>
      <c r="D142" s="24">
        <f t="shared" si="3"/>
        <v>144</v>
      </c>
    </row>
    <row r="143" spans="1:4">
      <c r="A143" s="2" t="s">
        <v>9</v>
      </c>
      <c r="B143" s="5">
        <v>19</v>
      </c>
      <c r="C143" s="10">
        <v>0.20100000000000001</v>
      </c>
      <c r="D143" s="24">
        <f t="shared" si="3"/>
        <v>80.400000000000006</v>
      </c>
    </row>
    <row r="144" spans="1:4">
      <c r="A144" s="2" t="s">
        <v>9</v>
      </c>
      <c r="B144" s="5">
        <v>20</v>
      </c>
      <c r="C144" s="10">
        <v>0.19400000000000001</v>
      </c>
      <c r="D144" s="24">
        <f t="shared" si="3"/>
        <v>77.600000000000009</v>
      </c>
    </row>
    <row r="145" spans="1:5">
      <c r="A145" s="2" t="s">
        <v>9</v>
      </c>
      <c r="B145" s="5">
        <v>21</v>
      </c>
      <c r="C145" s="10">
        <v>0.19900000000000001</v>
      </c>
      <c r="D145" s="24">
        <f t="shared" si="3"/>
        <v>79.600000000000009</v>
      </c>
    </row>
    <row r="146" spans="1:5">
      <c r="A146" s="2" t="s">
        <v>9</v>
      </c>
      <c r="B146" s="5">
        <v>22</v>
      </c>
      <c r="C146" s="10">
        <v>0.185</v>
      </c>
      <c r="D146" s="24">
        <f t="shared" si="3"/>
        <v>74</v>
      </c>
      <c r="E146" t="s">
        <v>34</v>
      </c>
    </row>
    <row r="147" spans="1:5" ht="15.75" thickBot="1">
      <c r="A147" s="15" t="s">
        <v>9</v>
      </c>
      <c r="B147" s="16">
        <v>23</v>
      </c>
      <c r="C147" s="17">
        <v>0.19600000000000001</v>
      </c>
      <c r="D147" s="25">
        <f t="shared" si="3"/>
        <v>78.400000000000006</v>
      </c>
      <c r="E147" s="19">
        <f>AVERAGE(D124:D147)</f>
        <v>142.96666666666667</v>
      </c>
    </row>
    <row r="148" spans="1:5" ht="15.75" thickTop="1">
      <c r="A148" s="12" t="s">
        <v>10</v>
      </c>
      <c r="B148" s="13">
        <v>0</v>
      </c>
      <c r="C148" s="14">
        <v>0.19800000000000001</v>
      </c>
      <c r="D148" s="23"/>
    </row>
    <row r="149" spans="1:5">
      <c r="A149" s="2" t="s">
        <v>10</v>
      </c>
      <c r="B149" s="5">
        <v>1</v>
      </c>
      <c r="C149" s="10">
        <v>0.19500000000000001</v>
      </c>
      <c r="D149" s="23"/>
    </row>
    <row r="150" spans="1:5">
      <c r="A150" s="2" t="s">
        <v>10</v>
      </c>
      <c r="B150" s="5">
        <v>10</v>
      </c>
      <c r="C150" s="10">
        <v>0.45100000000000001</v>
      </c>
      <c r="D150" s="23"/>
    </row>
    <row r="151" spans="1:5">
      <c r="A151" s="2" t="s">
        <v>10</v>
      </c>
      <c r="B151" s="5">
        <v>11</v>
      </c>
      <c r="C151" s="10">
        <v>0.504</v>
      </c>
      <c r="D151" s="23"/>
    </row>
    <row r="152" spans="1:5">
      <c r="A152" s="2" t="s">
        <v>10</v>
      </c>
      <c r="B152" s="5">
        <v>12</v>
      </c>
      <c r="C152" s="10">
        <v>0.51300000000000001</v>
      </c>
      <c r="D152" s="23"/>
    </row>
    <row r="153" spans="1:5">
      <c r="A153" s="2" t="s">
        <v>10</v>
      </c>
      <c r="B153" s="5">
        <v>13</v>
      </c>
      <c r="C153" s="10">
        <v>0.502</v>
      </c>
      <c r="D153" s="23"/>
    </row>
    <row r="154" spans="1:5">
      <c r="A154" s="2" t="s">
        <v>10</v>
      </c>
      <c r="B154" s="5">
        <v>14</v>
      </c>
      <c r="C154" s="10">
        <v>0.50600000000000001</v>
      </c>
      <c r="D154" s="23"/>
    </row>
    <row r="155" spans="1:5">
      <c r="A155" s="2" t="s">
        <v>10</v>
      </c>
      <c r="B155" s="5">
        <v>15</v>
      </c>
      <c r="C155" s="10">
        <v>0.503</v>
      </c>
      <c r="D155" s="23"/>
    </row>
    <row r="156" spans="1:5">
      <c r="A156" s="2" t="s">
        <v>10</v>
      </c>
      <c r="B156" s="5">
        <v>16</v>
      </c>
      <c r="C156" s="10">
        <v>0.39800000000000002</v>
      </c>
      <c r="D156" s="23"/>
    </row>
    <row r="157" spans="1:5">
      <c r="A157" s="2" t="s">
        <v>10</v>
      </c>
      <c r="B157" s="5">
        <v>17</v>
      </c>
      <c r="C157" s="10">
        <v>0.36199999999999999</v>
      </c>
      <c r="D157" s="23"/>
    </row>
    <row r="158" spans="1:5">
      <c r="A158" s="2" t="s">
        <v>10</v>
      </c>
      <c r="B158" s="5">
        <v>18</v>
      </c>
      <c r="C158" s="10">
        <v>0.20699999999999999</v>
      </c>
      <c r="D158" s="23"/>
    </row>
    <row r="159" spans="1:5">
      <c r="A159" s="2" t="s">
        <v>10</v>
      </c>
      <c r="B159" s="5">
        <v>19</v>
      </c>
      <c r="C159" s="10">
        <v>0.123</v>
      </c>
      <c r="D159" s="23"/>
    </row>
    <row r="160" spans="1:5">
      <c r="A160" s="2" t="s">
        <v>10</v>
      </c>
      <c r="B160" s="5">
        <v>2</v>
      </c>
      <c r="C160" s="10">
        <v>0.19</v>
      </c>
      <c r="D160" s="23"/>
    </row>
    <row r="161" spans="1:4">
      <c r="A161" s="2" t="s">
        <v>10</v>
      </c>
      <c r="B161" s="5">
        <v>20</v>
      </c>
      <c r="C161" s="10">
        <v>2E-3</v>
      </c>
      <c r="D161" s="23"/>
    </row>
    <row r="162" spans="1:4">
      <c r="A162" s="2" t="s">
        <v>10</v>
      </c>
      <c r="B162" s="5">
        <v>21</v>
      </c>
      <c r="C162" s="10">
        <v>2E-3</v>
      </c>
      <c r="D162" s="23"/>
    </row>
    <row r="163" spans="1:4">
      <c r="A163" s="2" t="s">
        <v>10</v>
      </c>
      <c r="B163" s="5">
        <v>22</v>
      </c>
      <c r="C163" s="10">
        <v>2E-3</v>
      </c>
      <c r="D163" s="23"/>
    </row>
    <row r="164" spans="1:4">
      <c r="A164" s="2" t="s">
        <v>10</v>
      </c>
      <c r="B164" s="5">
        <v>23</v>
      </c>
      <c r="C164" s="10">
        <v>1E-3</v>
      </c>
      <c r="D164" s="23"/>
    </row>
    <row r="165" spans="1:4">
      <c r="A165" s="2" t="s">
        <v>10</v>
      </c>
      <c r="B165" s="5">
        <v>3</v>
      </c>
      <c r="C165" s="10">
        <v>0.19400000000000001</v>
      </c>
      <c r="D165" s="23"/>
    </row>
    <row r="166" spans="1:4">
      <c r="A166" s="2" t="s">
        <v>10</v>
      </c>
      <c r="B166" s="5">
        <v>4</v>
      </c>
      <c r="C166" s="10">
        <v>0.193</v>
      </c>
      <c r="D166" s="23"/>
    </row>
    <row r="167" spans="1:4">
      <c r="A167" s="2" t="s">
        <v>10</v>
      </c>
      <c r="B167" s="5">
        <v>5</v>
      </c>
      <c r="C167" s="10">
        <v>0.19700000000000001</v>
      </c>
      <c r="D167" s="23"/>
    </row>
    <row r="168" spans="1:4">
      <c r="A168" s="2" t="s">
        <v>10</v>
      </c>
      <c r="B168" s="5">
        <v>6</v>
      </c>
      <c r="C168" s="10">
        <v>0.19500000000000001</v>
      </c>
      <c r="D168" s="23"/>
    </row>
    <row r="169" spans="1:4">
      <c r="A169" s="2" t="s">
        <v>10</v>
      </c>
      <c r="B169" s="5">
        <v>7</v>
      </c>
      <c r="C169" s="10">
        <v>0.29099999999999998</v>
      </c>
      <c r="D169" s="23"/>
    </row>
    <row r="170" spans="1:4">
      <c r="A170" s="2" t="s">
        <v>10</v>
      </c>
      <c r="B170" s="5">
        <v>8</v>
      </c>
      <c r="C170" s="10">
        <v>0.314</v>
      </c>
      <c r="D170" s="23"/>
    </row>
    <row r="171" spans="1:4">
      <c r="A171" s="2" t="s">
        <v>10</v>
      </c>
      <c r="B171" s="5">
        <v>9</v>
      </c>
      <c r="C171" s="10">
        <v>0.40799999999999997</v>
      </c>
      <c r="D171" s="23"/>
    </row>
    <row r="172" spans="1:4">
      <c r="A172" s="2" t="s">
        <v>11</v>
      </c>
      <c r="B172" s="5">
        <v>0</v>
      </c>
      <c r="C172" s="10">
        <v>4.0000000000000001E-3</v>
      </c>
      <c r="D172" s="23"/>
    </row>
    <row r="173" spans="1:4">
      <c r="A173" s="2" t="s">
        <v>11</v>
      </c>
      <c r="B173" s="5">
        <v>1</v>
      </c>
      <c r="C173" s="10">
        <v>0</v>
      </c>
      <c r="D173" s="23"/>
    </row>
    <row r="174" spans="1:4">
      <c r="A174" s="2" t="s">
        <v>11</v>
      </c>
      <c r="B174" s="5">
        <v>10</v>
      </c>
      <c r="C174" s="10">
        <v>0.55300000000000005</v>
      </c>
      <c r="D174" s="23"/>
    </row>
    <row r="175" spans="1:4">
      <c r="A175" s="2" t="s">
        <v>11</v>
      </c>
      <c r="B175" s="5">
        <v>11</v>
      </c>
      <c r="C175" s="10">
        <v>0.53400000000000003</v>
      </c>
      <c r="D175" s="23"/>
    </row>
    <row r="176" spans="1:4">
      <c r="A176" s="2" t="s">
        <v>11</v>
      </c>
      <c r="B176" s="5">
        <v>12</v>
      </c>
      <c r="C176" s="10">
        <v>0.53800000000000003</v>
      </c>
      <c r="D176" s="23"/>
    </row>
    <row r="177" spans="1:4">
      <c r="A177" s="2" t="s">
        <v>11</v>
      </c>
      <c r="B177" s="5">
        <v>13</v>
      </c>
      <c r="C177" s="10">
        <v>0.53100000000000003</v>
      </c>
      <c r="D177" s="23"/>
    </row>
    <row r="178" spans="1:4">
      <c r="A178" s="2" t="s">
        <v>11</v>
      </c>
      <c r="B178" s="5">
        <v>14</v>
      </c>
      <c r="C178" s="10">
        <v>0.55200000000000005</v>
      </c>
      <c r="D178" s="23"/>
    </row>
    <row r="179" spans="1:4">
      <c r="A179" s="2" t="s">
        <v>11</v>
      </c>
      <c r="B179" s="5">
        <v>15</v>
      </c>
      <c r="C179" s="10">
        <v>0.53100000000000003</v>
      </c>
      <c r="D179" s="23"/>
    </row>
    <row r="180" spans="1:4">
      <c r="A180" s="2" t="s">
        <v>11</v>
      </c>
      <c r="B180" s="5">
        <v>16</v>
      </c>
      <c r="C180" s="10">
        <v>0.39600000000000002</v>
      </c>
      <c r="D180" s="23"/>
    </row>
    <row r="181" spans="1:4">
      <c r="A181" s="2" t="s">
        <v>11</v>
      </c>
      <c r="B181" s="5">
        <v>17</v>
      </c>
      <c r="C181" s="10">
        <v>0.246</v>
      </c>
      <c r="D181" s="23"/>
    </row>
    <row r="182" spans="1:4">
      <c r="A182" s="2" t="s">
        <v>11</v>
      </c>
      <c r="B182" s="5">
        <v>18</v>
      </c>
      <c r="C182" s="10">
        <v>0.21</v>
      </c>
      <c r="D182" s="23"/>
    </row>
    <row r="183" spans="1:4">
      <c r="A183" s="2" t="s">
        <v>11</v>
      </c>
      <c r="B183" s="5">
        <v>19</v>
      </c>
      <c r="C183" s="10">
        <v>0.13200000000000001</v>
      </c>
      <c r="D183" s="23"/>
    </row>
    <row r="184" spans="1:4">
      <c r="A184" s="2" t="s">
        <v>11</v>
      </c>
      <c r="B184" s="5">
        <v>2</v>
      </c>
      <c r="C184" s="10">
        <v>3.0000000000000001E-3</v>
      </c>
      <c r="D184" s="23"/>
    </row>
    <row r="185" spans="1:4">
      <c r="A185" s="2" t="s">
        <v>11</v>
      </c>
      <c r="B185" s="5">
        <v>20</v>
      </c>
      <c r="C185" s="10">
        <v>3.0000000000000001E-3</v>
      </c>
      <c r="D185" s="23"/>
    </row>
    <row r="186" spans="1:4">
      <c r="A186" s="2" t="s">
        <v>11</v>
      </c>
      <c r="B186" s="5">
        <v>21</v>
      </c>
      <c r="C186" s="10">
        <v>3.0000000000000001E-3</v>
      </c>
      <c r="D186" s="23"/>
    </row>
    <row r="187" spans="1:4">
      <c r="A187" s="2" t="s">
        <v>11</v>
      </c>
      <c r="B187" s="5">
        <v>22</v>
      </c>
      <c r="C187" s="10">
        <v>2E-3</v>
      </c>
      <c r="D187" s="23"/>
    </row>
    <row r="188" spans="1:4">
      <c r="A188" s="2" t="s">
        <v>11</v>
      </c>
      <c r="B188" s="5">
        <v>23</v>
      </c>
      <c r="C188" s="10">
        <v>3.0000000000000001E-3</v>
      </c>
      <c r="D188" s="23"/>
    </row>
    <row r="189" spans="1:4">
      <c r="A189" s="2" t="s">
        <v>11</v>
      </c>
      <c r="B189" s="5">
        <v>3</v>
      </c>
      <c r="C189" s="10">
        <v>1E-3</v>
      </c>
      <c r="D189" s="23"/>
    </row>
    <row r="190" spans="1:4">
      <c r="A190" s="2" t="s">
        <v>11</v>
      </c>
      <c r="B190" s="5">
        <v>4</v>
      </c>
      <c r="C190" s="10">
        <v>2E-3</v>
      </c>
      <c r="D190" s="23"/>
    </row>
    <row r="191" spans="1:4">
      <c r="A191" s="2" t="s">
        <v>11</v>
      </c>
      <c r="B191" s="5">
        <v>5</v>
      </c>
      <c r="C191" s="10">
        <v>2E-3</v>
      </c>
      <c r="D191" s="23"/>
    </row>
    <row r="192" spans="1:4">
      <c r="A192" s="2" t="s">
        <v>11</v>
      </c>
      <c r="B192" s="5">
        <v>6</v>
      </c>
      <c r="C192" s="10">
        <v>0.03</v>
      </c>
      <c r="D192" s="23"/>
    </row>
    <row r="193" spans="1:4">
      <c r="A193" s="2" t="s">
        <v>11</v>
      </c>
      <c r="B193" s="5">
        <v>7</v>
      </c>
      <c r="C193" s="10">
        <v>0.16600000000000001</v>
      </c>
      <c r="D193" s="23"/>
    </row>
    <row r="194" spans="1:4">
      <c r="A194" s="2" t="s">
        <v>11</v>
      </c>
      <c r="B194" s="5">
        <v>8</v>
      </c>
      <c r="C194" s="10">
        <v>0.20399999999999999</v>
      </c>
      <c r="D194" s="23"/>
    </row>
    <row r="195" spans="1:4">
      <c r="A195" s="2" t="s">
        <v>11</v>
      </c>
      <c r="B195" s="5">
        <v>9</v>
      </c>
      <c r="C195" s="10">
        <v>0.52200000000000002</v>
      </c>
      <c r="D195" s="23"/>
    </row>
    <row r="196" spans="1:4">
      <c r="A196" s="2" t="s">
        <v>12</v>
      </c>
      <c r="B196" s="5">
        <v>0</v>
      </c>
      <c r="C196" s="10">
        <v>0</v>
      </c>
      <c r="D196" s="23"/>
    </row>
    <row r="197" spans="1:4">
      <c r="A197" s="2" t="s">
        <v>12</v>
      </c>
      <c r="B197" s="5">
        <v>1</v>
      </c>
      <c r="C197" s="10">
        <v>2E-3</v>
      </c>
      <c r="D197" s="23"/>
    </row>
    <row r="198" spans="1:4">
      <c r="A198" s="2" t="s">
        <v>12</v>
      </c>
      <c r="B198" s="5">
        <v>10</v>
      </c>
      <c r="C198" s="10">
        <v>0.246</v>
      </c>
      <c r="D198" s="23"/>
    </row>
    <row r="199" spans="1:4">
      <c r="A199" s="2" t="s">
        <v>12</v>
      </c>
      <c r="B199" s="5">
        <v>11</v>
      </c>
      <c r="C199" s="10">
        <v>0.23599999999999999</v>
      </c>
      <c r="D199" s="23"/>
    </row>
    <row r="200" spans="1:4">
      <c r="A200" s="2" t="s">
        <v>12</v>
      </c>
      <c r="B200" s="5">
        <v>12</v>
      </c>
      <c r="C200" s="10">
        <v>0.22700000000000001</v>
      </c>
      <c r="D200" s="23"/>
    </row>
    <row r="201" spans="1:4">
      <c r="A201" s="2" t="s">
        <v>12</v>
      </c>
      <c r="B201" s="5">
        <v>13</v>
      </c>
      <c r="C201" s="10">
        <v>0.20300000000000001</v>
      </c>
      <c r="D201" s="23"/>
    </row>
    <row r="202" spans="1:4">
      <c r="A202" s="2" t="s">
        <v>12</v>
      </c>
      <c r="B202" s="5">
        <v>14</v>
      </c>
      <c r="C202" s="10">
        <v>0.23200000000000001</v>
      </c>
      <c r="D202" s="23"/>
    </row>
    <row r="203" spans="1:4">
      <c r="A203" s="2" t="s">
        <v>12</v>
      </c>
      <c r="B203" s="5">
        <v>15</v>
      </c>
      <c r="C203" s="10">
        <v>9.8000000000000004E-2</v>
      </c>
      <c r="D203" s="23"/>
    </row>
    <row r="204" spans="1:4">
      <c r="A204" s="2" t="s">
        <v>12</v>
      </c>
      <c r="B204" s="5">
        <v>16</v>
      </c>
      <c r="C204" s="10">
        <v>0.121</v>
      </c>
      <c r="D204" s="23"/>
    </row>
    <row r="205" spans="1:4">
      <c r="A205" s="2" t="s">
        <v>12</v>
      </c>
      <c r="B205" s="5">
        <v>17</v>
      </c>
      <c r="C205" s="10">
        <v>0.13400000000000001</v>
      </c>
      <c r="D205" s="23"/>
    </row>
    <row r="206" spans="1:4">
      <c r="A206" s="2" t="s">
        <v>12</v>
      </c>
      <c r="B206" s="5">
        <v>18</v>
      </c>
      <c r="C206" s="10">
        <v>0.19700000000000001</v>
      </c>
      <c r="D206" s="23"/>
    </row>
    <row r="207" spans="1:4">
      <c r="A207" s="2" t="s">
        <v>12</v>
      </c>
      <c r="B207" s="5">
        <v>19</v>
      </c>
      <c r="C207" s="10">
        <v>0.19900000000000001</v>
      </c>
      <c r="D207" s="23"/>
    </row>
    <row r="208" spans="1:4">
      <c r="A208" s="2" t="s">
        <v>12</v>
      </c>
      <c r="B208" s="5">
        <v>2</v>
      </c>
      <c r="C208" s="10">
        <v>2E-3</v>
      </c>
      <c r="D208" s="23"/>
    </row>
    <row r="209" spans="1:4">
      <c r="A209" s="2" t="s">
        <v>12</v>
      </c>
      <c r="B209" s="5">
        <v>20</v>
      </c>
      <c r="C209" s="10">
        <v>0.193</v>
      </c>
      <c r="D209" s="23"/>
    </row>
    <row r="210" spans="1:4">
      <c r="A210" s="2" t="s">
        <v>12</v>
      </c>
      <c r="B210" s="5">
        <v>21</v>
      </c>
      <c r="C210" s="10">
        <v>0.19400000000000001</v>
      </c>
      <c r="D210" s="23"/>
    </row>
    <row r="211" spans="1:4">
      <c r="A211" s="2" t="s">
        <v>12</v>
      </c>
      <c r="B211" s="5">
        <v>22</v>
      </c>
      <c r="C211" s="10">
        <v>0.186</v>
      </c>
      <c r="D211" s="23"/>
    </row>
    <row r="212" spans="1:4">
      <c r="A212" s="2" t="s">
        <v>12</v>
      </c>
      <c r="B212" s="5">
        <v>23</v>
      </c>
      <c r="C212" s="10">
        <v>0.19</v>
      </c>
      <c r="D212" s="23"/>
    </row>
    <row r="213" spans="1:4">
      <c r="A213" s="2" t="s">
        <v>12</v>
      </c>
      <c r="B213" s="5">
        <v>3</v>
      </c>
      <c r="C213" s="10">
        <v>3.0000000000000001E-3</v>
      </c>
      <c r="D213" s="23"/>
    </row>
    <row r="214" spans="1:4">
      <c r="A214" s="2" t="s">
        <v>12</v>
      </c>
      <c r="B214" s="5">
        <v>4</v>
      </c>
      <c r="C214" s="10">
        <v>1E-3</v>
      </c>
      <c r="D214" s="23"/>
    </row>
    <row r="215" spans="1:4">
      <c r="A215" s="2" t="s">
        <v>12</v>
      </c>
      <c r="B215" s="5">
        <v>5</v>
      </c>
      <c r="C215" s="10">
        <v>3.0000000000000001E-3</v>
      </c>
      <c r="D215" s="23"/>
    </row>
    <row r="216" spans="1:4">
      <c r="A216" s="2" t="s">
        <v>12</v>
      </c>
      <c r="B216" s="5">
        <v>6</v>
      </c>
      <c r="C216" s="10">
        <v>2E-3</v>
      </c>
      <c r="D216" s="23"/>
    </row>
    <row r="217" spans="1:4">
      <c r="A217" s="2" t="s">
        <v>12</v>
      </c>
      <c r="B217" s="5">
        <v>7</v>
      </c>
      <c r="C217" s="10">
        <v>5.8999999999999997E-2</v>
      </c>
      <c r="D217" s="23"/>
    </row>
    <row r="218" spans="1:4">
      <c r="A218" s="2" t="s">
        <v>12</v>
      </c>
      <c r="B218" s="5">
        <v>8</v>
      </c>
      <c r="C218" s="10">
        <v>0.14599999999999999</v>
      </c>
      <c r="D218" s="23"/>
    </row>
    <row r="219" spans="1:4">
      <c r="A219" s="2" t="s">
        <v>12</v>
      </c>
      <c r="B219" s="5">
        <v>9</v>
      </c>
      <c r="C219" s="10">
        <v>0.24199999999999999</v>
      </c>
      <c r="D219" s="23"/>
    </row>
    <row r="220" spans="1:4">
      <c r="A220" s="2" t="s">
        <v>13</v>
      </c>
      <c r="B220" s="5">
        <v>0</v>
      </c>
      <c r="C220" s="10">
        <v>0.192</v>
      </c>
      <c r="D220" s="23"/>
    </row>
    <row r="221" spans="1:4">
      <c r="A221" s="2" t="s">
        <v>13</v>
      </c>
      <c r="B221" s="5">
        <v>1</v>
      </c>
      <c r="C221" s="10">
        <v>0.19400000000000001</v>
      </c>
      <c r="D221" s="23"/>
    </row>
    <row r="222" spans="1:4">
      <c r="A222" s="2" t="s">
        <v>13</v>
      </c>
      <c r="B222" s="5">
        <v>10</v>
      </c>
      <c r="C222" s="10">
        <v>0.30499999999999999</v>
      </c>
      <c r="D222" s="23"/>
    </row>
    <row r="223" spans="1:4">
      <c r="A223" s="2" t="s">
        <v>13</v>
      </c>
      <c r="B223" s="5">
        <v>11</v>
      </c>
      <c r="C223" s="10">
        <v>0.23300000000000001</v>
      </c>
      <c r="D223" s="23"/>
    </row>
    <row r="224" spans="1:4">
      <c r="A224" s="2" t="s">
        <v>13</v>
      </c>
      <c r="B224" s="5">
        <v>12</v>
      </c>
      <c r="C224" s="10">
        <v>0.221</v>
      </c>
      <c r="D224" s="23"/>
    </row>
    <row r="225" spans="1:4">
      <c r="A225" s="2" t="s">
        <v>13</v>
      </c>
      <c r="B225" s="5">
        <v>13</v>
      </c>
      <c r="C225" s="10">
        <v>0.252</v>
      </c>
      <c r="D225" s="23"/>
    </row>
    <row r="226" spans="1:4">
      <c r="A226" s="2" t="s">
        <v>13</v>
      </c>
      <c r="B226" s="5">
        <v>14</v>
      </c>
      <c r="C226" s="10">
        <v>0.28599999999999998</v>
      </c>
      <c r="D226" s="23"/>
    </row>
    <row r="227" spans="1:4">
      <c r="A227" s="2" t="s">
        <v>13</v>
      </c>
      <c r="B227" s="5">
        <v>15</v>
      </c>
      <c r="C227" s="10">
        <v>0.26600000000000001</v>
      </c>
      <c r="D227" s="23"/>
    </row>
    <row r="228" spans="1:4">
      <c r="A228" s="2" t="s">
        <v>13</v>
      </c>
      <c r="B228" s="5">
        <v>16</v>
      </c>
      <c r="C228" s="10">
        <v>0.22500000000000001</v>
      </c>
      <c r="D228" s="23"/>
    </row>
    <row r="229" spans="1:4">
      <c r="A229" s="2" t="s">
        <v>13</v>
      </c>
      <c r="B229" s="5">
        <v>17</v>
      </c>
      <c r="C229" s="10">
        <v>0.215</v>
      </c>
      <c r="D229" s="23"/>
    </row>
    <row r="230" spans="1:4">
      <c r="A230" s="2" t="s">
        <v>13</v>
      </c>
      <c r="B230" s="5">
        <v>18</v>
      </c>
      <c r="C230" s="10">
        <v>0.20699999999999999</v>
      </c>
      <c r="D230" s="23"/>
    </row>
    <row r="231" spans="1:4">
      <c r="A231" s="2" t="s">
        <v>13</v>
      </c>
      <c r="B231" s="5">
        <v>19</v>
      </c>
      <c r="C231" s="10">
        <v>0.20100000000000001</v>
      </c>
      <c r="D231" s="23"/>
    </row>
    <row r="232" spans="1:4">
      <c r="A232" s="2" t="s">
        <v>13</v>
      </c>
      <c r="B232" s="5">
        <v>2</v>
      </c>
      <c r="C232" s="10">
        <v>0.19400000000000001</v>
      </c>
      <c r="D232" s="23"/>
    </row>
    <row r="233" spans="1:4">
      <c r="A233" s="2" t="s">
        <v>13</v>
      </c>
      <c r="B233" s="5">
        <v>20</v>
      </c>
      <c r="C233" s="10">
        <v>0.19800000000000001</v>
      </c>
      <c r="D233" s="23"/>
    </row>
    <row r="234" spans="1:4">
      <c r="A234" s="2" t="s">
        <v>13</v>
      </c>
      <c r="B234" s="5">
        <v>21</v>
      </c>
      <c r="C234" s="10">
        <v>0.2</v>
      </c>
      <c r="D234" s="23"/>
    </row>
    <row r="235" spans="1:4">
      <c r="A235" s="2" t="s">
        <v>13</v>
      </c>
      <c r="B235" s="5">
        <v>22</v>
      </c>
      <c r="C235" s="10">
        <v>0.2</v>
      </c>
      <c r="D235" s="23"/>
    </row>
    <row r="236" spans="1:4">
      <c r="A236" s="2" t="s">
        <v>13</v>
      </c>
      <c r="B236" s="5">
        <v>23</v>
      </c>
      <c r="C236" s="10">
        <v>0.20300000000000001</v>
      </c>
      <c r="D236" s="23"/>
    </row>
    <row r="237" spans="1:4">
      <c r="A237" s="2" t="s">
        <v>13</v>
      </c>
      <c r="B237" s="5">
        <v>3</v>
      </c>
      <c r="C237" s="10">
        <v>0.19600000000000001</v>
      </c>
      <c r="D237" s="23"/>
    </row>
    <row r="238" spans="1:4">
      <c r="A238" s="2" t="s">
        <v>13</v>
      </c>
      <c r="B238" s="5">
        <v>4</v>
      </c>
      <c r="C238" s="10">
        <v>0.193</v>
      </c>
      <c r="D238" s="23"/>
    </row>
    <row r="239" spans="1:4">
      <c r="A239" s="2" t="s">
        <v>13</v>
      </c>
      <c r="B239" s="5">
        <v>5</v>
      </c>
      <c r="C239" s="10">
        <v>0.189</v>
      </c>
      <c r="D239" s="23"/>
    </row>
    <row r="240" spans="1:4">
      <c r="A240" s="2" t="s">
        <v>13</v>
      </c>
      <c r="B240" s="5">
        <v>6</v>
      </c>
      <c r="C240" s="10">
        <v>0.19600000000000001</v>
      </c>
      <c r="D240" s="23"/>
    </row>
    <row r="241" spans="1:4">
      <c r="A241" s="2" t="s">
        <v>13</v>
      </c>
      <c r="B241" s="5">
        <v>7</v>
      </c>
      <c r="C241" s="10">
        <v>0.19800000000000001</v>
      </c>
      <c r="D241" s="23"/>
    </row>
    <row r="242" spans="1:4">
      <c r="A242" s="2" t="s">
        <v>13</v>
      </c>
      <c r="B242" s="5">
        <v>8</v>
      </c>
      <c r="C242" s="10">
        <v>0.28499999999999998</v>
      </c>
      <c r="D242" s="23"/>
    </row>
    <row r="243" spans="1:4">
      <c r="A243" s="2" t="s">
        <v>13</v>
      </c>
      <c r="B243" s="5">
        <v>9</v>
      </c>
      <c r="C243" s="10">
        <v>0.29799999999999999</v>
      </c>
      <c r="D243" s="23"/>
    </row>
    <row r="244" spans="1:4">
      <c r="A244" s="2" t="s">
        <v>14</v>
      </c>
      <c r="B244" s="5">
        <v>0</v>
      </c>
      <c r="C244" s="10">
        <v>0.20200000000000001</v>
      </c>
      <c r="D244" s="23"/>
    </row>
    <row r="245" spans="1:4">
      <c r="A245" s="2" t="s">
        <v>14</v>
      </c>
      <c r="B245" s="5">
        <v>1</v>
      </c>
      <c r="C245" s="10">
        <v>0.20200000000000001</v>
      </c>
      <c r="D245" s="23"/>
    </row>
    <row r="246" spans="1:4">
      <c r="A246" s="2" t="s">
        <v>14</v>
      </c>
      <c r="B246" s="5">
        <v>10</v>
      </c>
      <c r="C246" s="10">
        <v>0.252</v>
      </c>
      <c r="D246" s="23"/>
    </row>
    <row r="247" spans="1:4">
      <c r="A247" s="2" t="s">
        <v>14</v>
      </c>
      <c r="B247" s="5">
        <v>11</v>
      </c>
      <c r="C247" s="10">
        <v>0.378</v>
      </c>
      <c r="D247" s="23"/>
    </row>
    <row r="248" spans="1:4">
      <c r="A248" s="2" t="s">
        <v>14</v>
      </c>
      <c r="B248" s="5">
        <v>12</v>
      </c>
      <c r="C248" s="10">
        <v>0.36099999999999999</v>
      </c>
      <c r="D248" s="23"/>
    </row>
    <row r="249" spans="1:4">
      <c r="A249" s="2" t="s">
        <v>14</v>
      </c>
      <c r="B249" s="5">
        <v>13</v>
      </c>
      <c r="C249" s="10">
        <v>0.33800000000000002</v>
      </c>
      <c r="D249" s="23"/>
    </row>
    <row r="250" spans="1:4">
      <c r="A250" s="2" t="s">
        <v>14</v>
      </c>
      <c r="B250" s="5">
        <v>14</v>
      </c>
      <c r="C250" s="10">
        <v>0.22600000000000001</v>
      </c>
      <c r="D250" s="23"/>
    </row>
    <row r="251" spans="1:4">
      <c r="A251" s="2" t="s">
        <v>14</v>
      </c>
      <c r="B251" s="5">
        <v>15</v>
      </c>
      <c r="C251" s="10">
        <v>0.21299999999999999</v>
      </c>
      <c r="D251" s="23"/>
    </row>
    <row r="252" spans="1:4">
      <c r="A252" s="2" t="s">
        <v>14</v>
      </c>
      <c r="B252" s="5">
        <v>16</v>
      </c>
      <c r="C252" s="10">
        <v>0.22900000000000001</v>
      </c>
      <c r="D252" s="23"/>
    </row>
    <row r="253" spans="1:4">
      <c r="A253" s="2" t="s">
        <v>14</v>
      </c>
      <c r="B253" s="5">
        <v>17</v>
      </c>
      <c r="C253" s="10">
        <v>0.24399999999999999</v>
      </c>
      <c r="D253" s="23"/>
    </row>
    <row r="254" spans="1:4">
      <c r="A254" s="2" t="s">
        <v>14</v>
      </c>
      <c r="B254" s="5">
        <v>18</v>
      </c>
      <c r="C254" s="10">
        <v>0.21099999999999999</v>
      </c>
      <c r="D254" s="23"/>
    </row>
    <row r="255" spans="1:4">
      <c r="A255" s="2" t="s">
        <v>14</v>
      </c>
      <c r="B255" s="5">
        <v>19</v>
      </c>
      <c r="C255" s="10">
        <v>0.13700000000000001</v>
      </c>
      <c r="D255" s="23"/>
    </row>
    <row r="256" spans="1:4">
      <c r="A256" s="2" t="s">
        <v>14</v>
      </c>
      <c r="B256" s="5">
        <v>2</v>
      </c>
      <c r="C256" s="10">
        <v>0.20599999999999999</v>
      </c>
      <c r="D256" s="23"/>
    </row>
    <row r="257" spans="1:4">
      <c r="A257" s="2" t="s">
        <v>14</v>
      </c>
      <c r="B257" s="5">
        <v>20</v>
      </c>
      <c r="C257" s="10">
        <v>2E-3</v>
      </c>
      <c r="D257" s="23"/>
    </row>
    <row r="258" spans="1:4">
      <c r="A258" s="2" t="s">
        <v>14</v>
      </c>
      <c r="B258" s="5">
        <v>21</v>
      </c>
      <c r="C258" s="10">
        <v>3.0000000000000001E-3</v>
      </c>
      <c r="D258" s="23"/>
    </row>
    <row r="259" spans="1:4">
      <c r="A259" s="2" t="s">
        <v>14</v>
      </c>
      <c r="B259" s="5">
        <v>22</v>
      </c>
      <c r="C259" s="10">
        <v>1E-3</v>
      </c>
      <c r="D259" s="23"/>
    </row>
    <row r="260" spans="1:4">
      <c r="A260" s="2" t="s">
        <v>14</v>
      </c>
      <c r="B260" s="5">
        <v>23</v>
      </c>
      <c r="C260" s="10">
        <v>1E-3</v>
      </c>
      <c r="D260" s="23"/>
    </row>
    <row r="261" spans="1:4">
      <c r="A261" s="2" t="s">
        <v>14</v>
      </c>
      <c r="B261" s="5">
        <v>3</v>
      </c>
      <c r="C261" s="10">
        <v>0.20399999999999999</v>
      </c>
      <c r="D261" s="23"/>
    </row>
    <row r="262" spans="1:4">
      <c r="A262" s="2" t="s">
        <v>14</v>
      </c>
      <c r="B262" s="5">
        <v>4</v>
      </c>
      <c r="C262" s="10">
        <v>0.19900000000000001</v>
      </c>
      <c r="D262" s="23"/>
    </row>
    <row r="263" spans="1:4">
      <c r="A263" s="2" t="s">
        <v>14</v>
      </c>
      <c r="B263" s="5">
        <v>5</v>
      </c>
      <c r="C263" s="10">
        <v>0.20499999999999999</v>
      </c>
      <c r="D263" s="23"/>
    </row>
    <row r="264" spans="1:4">
      <c r="A264" s="2" t="s">
        <v>14</v>
      </c>
      <c r="B264" s="5">
        <v>6</v>
      </c>
      <c r="C264" s="10">
        <v>0.20599999999999999</v>
      </c>
      <c r="D264" s="23"/>
    </row>
    <row r="265" spans="1:4">
      <c r="A265" s="2" t="s">
        <v>14</v>
      </c>
      <c r="B265" s="5">
        <v>7</v>
      </c>
      <c r="C265" s="10">
        <v>0.20599999999999999</v>
      </c>
      <c r="D265" s="23"/>
    </row>
    <row r="266" spans="1:4">
      <c r="A266" s="2" t="s">
        <v>14</v>
      </c>
      <c r="B266" s="5">
        <v>8</v>
      </c>
      <c r="C266" s="10">
        <v>0.216</v>
      </c>
      <c r="D266" s="23"/>
    </row>
    <row r="267" spans="1:4">
      <c r="A267" s="2" t="s">
        <v>14</v>
      </c>
      <c r="B267" s="5">
        <v>9</v>
      </c>
      <c r="C267" s="10">
        <v>0.27100000000000002</v>
      </c>
      <c r="D267" s="23"/>
    </row>
    <row r="268" spans="1:4">
      <c r="A268" s="2" t="s">
        <v>15</v>
      </c>
      <c r="B268" s="5">
        <v>0</v>
      </c>
      <c r="C268" s="10">
        <v>1E-3</v>
      </c>
      <c r="D268" s="23"/>
    </row>
    <row r="269" spans="1:4">
      <c r="A269" s="2" t="s">
        <v>15</v>
      </c>
      <c r="B269" s="5">
        <v>1</v>
      </c>
      <c r="C269" s="10">
        <v>2E-3</v>
      </c>
      <c r="D269" s="23"/>
    </row>
    <row r="270" spans="1:4">
      <c r="A270" s="2" t="s">
        <v>15</v>
      </c>
      <c r="B270" s="5">
        <v>10</v>
      </c>
      <c r="C270" s="10">
        <v>0.436</v>
      </c>
      <c r="D270" s="23"/>
    </row>
    <row r="271" spans="1:4">
      <c r="A271" s="2" t="s">
        <v>15</v>
      </c>
      <c r="B271" s="5">
        <v>11</v>
      </c>
      <c r="C271" s="10">
        <v>0.41799999999999998</v>
      </c>
      <c r="D271" s="23"/>
    </row>
    <row r="272" spans="1:4">
      <c r="A272" s="2" t="s">
        <v>15</v>
      </c>
      <c r="B272" s="5">
        <v>12</v>
      </c>
      <c r="C272" s="10">
        <v>0.42799999999999999</v>
      </c>
      <c r="D272" s="23"/>
    </row>
    <row r="273" spans="1:4">
      <c r="A273" s="2" t="s">
        <v>15</v>
      </c>
      <c r="B273" s="5">
        <v>13</v>
      </c>
      <c r="C273" s="10">
        <v>0.38100000000000001</v>
      </c>
      <c r="D273" s="23"/>
    </row>
    <row r="274" spans="1:4">
      <c r="A274" s="2" t="s">
        <v>15</v>
      </c>
      <c r="B274" s="5">
        <v>14</v>
      </c>
      <c r="C274" s="10">
        <v>0.40200000000000002</v>
      </c>
      <c r="D274" s="23"/>
    </row>
    <row r="275" spans="1:4">
      <c r="A275" s="2" t="s">
        <v>15</v>
      </c>
      <c r="B275" s="5">
        <v>15</v>
      </c>
      <c r="C275" s="10">
        <v>0.40699999999999997</v>
      </c>
      <c r="D275" s="23"/>
    </row>
    <row r="276" spans="1:4">
      <c r="A276" s="2" t="s">
        <v>15</v>
      </c>
      <c r="B276" s="5">
        <v>16</v>
      </c>
      <c r="C276" s="10">
        <v>0.39200000000000002</v>
      </c>
      <c r="D276" s="23"/>
    </row>
    <row r="277" spans="1:4">
      <c r="A277" s="2" t="s">
        <v>15</v>
      </c>
      <c r="B277" s="5">
        <v>17</v>
      </c>
      <c r="C277" s="10">
        <v>0.39700000000000002</v>
      </c>
      <c r="D277" s="23"/>
    </row>
    <row r="278" spans="1:4">
      <c r="A278" s="2" t="s">
        <v>15</v>
      </c>
      <c r="B278" s="5">
        <v>18</v>
      </c>
      <c r="C278" s="10">
        <v>0.22900000000000001</v>
      </c>
      <c r="D278" s="23"/>
    </row>
    <row r="279" spans="1:4">
      <c r="A279" s="2" t="s">
        <v>15</v>
      </c>
      <c r="B279" s="5">
        <v>19</v>
      </c>
      <c r="C279" s="10">
        <v>0.11600000000000001</v>
      </c>
      <c r="D279" s="23"/>
    </row>
    <row r="280" spans="1:4">
      <c r="A280" s="2" t="s">
        <v>15</v>
      </c>
      <c r="B280" s="5">
        <v>2</v>
      </c>
      <c r="C280" s="10">
        <v>2E-3</v>
      </c>
      <c r="D280" s="23"/>
    </row>
    <row r="281" spans="1:4">
      <c r="A281" s="2" t="s">
        <v>15</v>
      </c>
      <c r="B281" s="5">
        <v>20</v>
      </c>
      <c r="C281" s="10">
        <v>3.0000000000000001E-3</v>
      </c>
      <c r="D281" s="23"/>
    </row>
    <row r="282" spans="1:4">
      <c r="A282" s="2" t="s">
        <v>15</v>
      </c>
      <c r="B282" s="5">
        <v>21</v>
      </c>
      <c r="C282" s="10">
        <v>1E-3</v>
      </c>
      <c r="D282" s="23"/>
    </row>
    <row r="283" spans="1:4">
      <c r="A283" s="2" t="s">
        <v>15</v>
      </c>
      <c r="B283" s="5">
        <v>22</v>
      </c>
      <c r="C283" s="10">
        <v>2E-3</v>
      </c>
      <c r="D283" s="23"/>
    </row>
    <row r="284" spans="1:4">
      <c r="A284" s="2" t="s">
        <v>15</v>
      </c>
      <c r="B284" s="5">
        <v>23</v>
      </c>
      <c r="C284" s="10">
        <v>3.0000000000000001E-3</v>
      </c>
      <c r="D284" s="23"/>
    </row>
    <row r="285" spans="1:4">
      <c r="A285" s="2" t="s">
        <v>15</v>
      </c>
      <c r="B285" s="5">
        <v>3</v>
      </c>
      <c r="C285" s="10">
        <v>1E-3</v>
      </c>
      <c r="D285" s="23"/>
    </row>
    <row r="286" spans="1:4">
      <c r="A286" s="2" t="s">
        <v>15</v>
      </c>
      <c r="B286" s="5">
        <v>4</v>
      </c>
      <c r="C286" s="10">
        <v>2E-3</v>
      </c>
      <c r="D286" s="23"/>
    </row>
    <row r="287" spans="1:4">
      <c r="A287" s="2" t="s">
        <v>15</v>
      </c>
      <c r="B287" s="5">
        <v>5</v>
      </c>
      <c r="C287" s="10">
        <v>2E-3</v>
      </c>
      <c r="D287" s="23"/>
    </row>
    <row r="288" spans="1:4">
      <c r="A288" s="2" t="s">
        <v>15</v>
      </c>
      <c r="B288" s="5">
        <v>6</v>
      </c>
      <c r="C288" s="10">
        <v>4.2000000000000003E-2</v>
      </c>
      <c r="D288" s="23"/>
    </row>
    <row r="289" spans="1:4">
      <c r="A289" s="2" t="s">
        <v>15</v>
      </c>
      <c r="B289" s="5">
        <v>7</v>
      </c>
      <c r="C289" s="10">
        <v>0.112</v>
      </c>
      <c r="D289" s="23"/>
    </row>
    <row r="290" spans="1:4">
      <c r="A290" s="2" t="s">
        <v>15</v>
      </c>
      <c r="B290" s="5">
        <v>8</v>
      </c>
      <c r="C290" s="10">
        <v>0.307</v>
      </c>
      <c r="D290" s="23"/>
    </row>
    <row r="291" spans="1:4">
      <c r="A291" s="2" t="s">
        <v>15</v>
      </c>
      <c r="B291" s="5">
        <v>9</v>
      </c>
      <c r="C291" s="10">
        <v>0.43</v>
      </c>
      <c r="D291" s="23"/>
    </row>
    <row r="292" spans="1:4">
      <c r="A292" s="2" t="s">
        <v>16</v>
      </c>
      <c r="B292" s="5">
        <v>0</v>
      </c>
      <c r="C292" s="10">
        <v>0</v>
      </c>
      <c r="D292" s="23"/>
    </row>
    <row r="293" spans="1:4">
      <c r="A293" s="2" t="s">
        <v>16</v>
      </c>
      <c r="B293" s="5">
        <v>1</v>
      </c>
      <c r="C293" s="10">
        <v>2E-3</v>
      </c>
      <c r="D293" s="23"/>
    </row>
    <row r="294" spans="1:4">
      <c r="A294" s="2" t="s">
        <v>16</v>
      </c>
      <c r="B294" s="5">
        <v>10</v>
      </c>
      <c r="C294" s="10">
        <v>0.56000000000000005</v>
      </c>
      <c r="D294" s="23"/>
    </row>
    <row r="295" spans="1:4">
      <c r="A295" s="2" t="s">
        <v>16</v>
      </c>
      <c r="B295" s="5">
        <v>11</v>
      </c>
      <c r="C295" s="10">
        <v>0.54900000000000004</v>
      </c>
      <c r="D295" s="23"/>
    </row>
    <row r="296" spans="1:4">
      <c r="A296" s="2" t="s">
        <v>16</v>
      </c>
      <c r="B296" s="5">
        <v>12</v>
      </c>
      <c r="C296" s="10">
        <v>0.52500000000000002</v>
      </c>
      <c r="D296" s="23"/>
    </row>
    <row r="297" spans="1:4">
      <c r="A297" s="2" t="s">
        <v>16</v>
      </c>
      <c r="B297" s="5">
        <v>13</v>
      </c>
      <c r="C297" s="10">
        <v>0.54200000000000004</v>
      </c>
      <c r="D297" s="23"/>
    </row>
    <row r="298" spans="1:4">
      <c r="A298" s="2" t="s">
        <v>16</v>
      </c>
      <c r="B298" s="5">
        <v>14</v>
      </c>
      <c r="C298" s="10">
        <v>0.53900000000000003</v>
      </c>
      <c r="D298" s="23"/>
    </row>
    <row r="299" spans="1:4">
      <c r="A299" s="2" t="s">
        <v>16</v>
      </c>
      <c r="B299" s="5">
        <v>15</v>
      </c>
      <c r="C299" s="10">
        <v>0.53</v>
      </c>
      <c r="D299" s="23"/>
    </row>
    <row r="300" spans="1:4">
      <c r="A300" s="2" t="s">
        <v>16</v>
      </c>
      <c r="B300" s="5">
        <v>16</v>
      </c>
      <c r="C300" s="10">
        <v>0.40400000000000003</v>
      </c>
      <c r="D300" s="23"/>
    </row>
    <row r="301" spans="1:4">
      <c r="A301" s="2" t="s">
        <v>16</v>
      </c>
      <c r="B301" s="5">
        <v>17</v>
      </c>
      <c r="C301" s="10">
        <v>0.35699999999999998</v>
      </c>
      <c r="D301" s="23"/>
    </row>
    <row r="302" spans="1:4">
      <c r="A302" s="2" t="s">
        <v>16</v>
      </c>
      <c r="B302" s="5">
        <v>18</v>
      </c>
      <c r="C302" s="10">
        <v>0.29099999999999998</v>
      </c>
      <c r="D302" s="23"/>
    </row>
    <row r="303" spans="1:4">
      <c r="A303" s="2" t="s">
        <v>16</v>
      </c>
      <c r="B303" s="5">
        <v>19</v>
      </c>
      <c r="C303" s="10">
        <v>0.21199999999999999</v>
      </c>
      <c r="D303" s="23"/>
    </row>
    <row r="304" spans="1:4">
      <c r="A304" s="2" t="s">
        <v>16</v>
      </c>
      <c r="B304" s="5">
        <v>2</v>
      </c>
      <c r="C304" s="10">
        <v>2E-3</v>
      </c>
      <c r="D304" s="23"/>
    </row>
    <row r="305" spans="1:4">
      <c r="A305" s="2" t="s">
        <v>16</v>
      </c>
      <c r="B305" s="5">
        <v>20</v>
      </c>
      <c r="C305" s="10">
        <v>0.20399999999999999</v>
      </c>
      <c r="D305" s="23"/>
    </row>
    <row r="306" spans="1:4">
      <c r="A306" s="2" t="s">
        <v>16</v>
      </c>
      <c r="B306" s="5">
        <v>21</v>
      </c>
      <c r="C306" s="10">
        <v>0.20200000000000001</v>
      </c>
      <c r="D306" s="23"/>
    </row>
    <row r="307" spans="1:4">
      <c r="A307" s="2" t="s">
        <v>16</v>
      </c>
      <c r="B307" s="5">
        <v>22</v>
      </c>
      <c r="C307" s="10">
        <v>0.20599999999999999</v>
      </c>
      <c r="D307" s="23"/>
    </row>
    <row r="308" spans="1:4">
      <c r="A308" s="2" t="s">
        <v>16</v>
      </c>
      <c r="B308" s="5">
        <v>23</v>
      </c>
      <c r="C308" s="10">
        <v>0.19700000000000001</v>
      </c>
      <c r="D308" s="23"/>
    </row>
    <row r="309" spans="1:4">
      <c r="A309" s="2" t="s">
        <v>16</v>
      </c>
      <c r="B309" s="5">
        <v>3</v>
      </c>
      <c r="C309" s="10">
        <v>2E-3</v>
      </c>
      <c r="D309" s="23"/>
    </row>
    <row r="310" spans="1:4">
      <c r="A310" s="2" t="s">
        <v>16</v>
      </c>
      <c r="B310" s="5">
        <v>4</v>
      </c>
      <c r="C310" s="10">
        <v>0</v>
      </c>
      <c r="D310" s="23"/>
    </row>
    <row r="311" spans="1:4">
      <c r="A311" s="2" t="s">
        <v>16</v>
      </c>
      <c r="B311" s="5">
        <v>5</v>
      </c>
      <c r="C311" s="10">
        <v>4.0000000000000001E-3</v>
      </c>
      <c r="D311" s="23"/>
    </row>
    <row r="312" spans="1:4">
      <c r="A312" s="2" t="s">
        <v>16</v>
      </c>
      <c r="B312" s="5">
        <v>6</v>
      </c>
      <c r="C312" s="10">
        <v>3.7999999999999999E-2</v>
      </c>
      <c r="D312" s="23"/>
    </row>
    <row r="313" spans="1:4">
      <c r="A313" s="2" t="s">
        <v>16</v>
      </c>
      <c r="B313" s="5">
        <v>7</v>
      </c>
      <c r="C313" s="10">
        <v>0.13200000000000001</v>
      </c>
      <c r="D313" s="23"/>
    </row>
    <row r="314" spans="1:4">
      <c r="A314" s="2" t="s">
        <v>16</v>
      </c>
      <c r="B314" s="5">
        <v>8</v>
      </c>
      <c r="C314" s="10">
        <v>0.26700000000000002</v>
      </c>
      <c r="D314" s="23"/>
    </row>
    <row r="315" spans="1:4">
      <c r="A315" s="2" t="s">
        <v>16</v>
      </c>
      <c r="B315" s="5">
        <v>9</v>
      </c>
      <c r="C315" s="10">
        <v>0.34399999999999997</v>
      </c>
      <c r="D315" s="23"/>
    </row>
    <row r="316" spans="1:4">
      <c r="A316" s="2" t="s">
        <v>17</v>
      </c>
      <c r="B316" s="5">
        <v>0</v>
      </c>
      <c r="C316" s="10">
        <v>0.20300000000000001</v>
      </c>
      <c r="D316" s="23"/>
    </row>
    <row r="317" spans="1:4">
      <c r="A317" s="2" t="s">
        <v>17</v>
      </c>
      <c r="B317" s="5">
        <v>1</v>
      </c>
      <c r="C317" s="10">
        <v>0.20100000000000001</v>
      </c>
      <c r="D317" s="23"/>
    </row>
    <row r="318" spans="1:4">
      <c r="A318" s="2" t="s">
        <v>17</v>
      </c>
      <c r="B318" s="5">
        <v>10</v>
      </c>
      <c r="C318" s="10">
        <v>0.35</v>
      </c>
      <c r="D318" s="23"/>
    </row>
    <row r="319" spans="1:4">
      <c r="A319" s="2" t="s">
        <v>17</v>
      </c>
      <c r="B319" s="5">
        <v>11</v>
      </c>
      <c r="C319" s="10">
        <v>0.41499999999999998</v>
      </c>
      <c r="D319" s="23"/>
    </row>
    <row r="320" spans="1:4">
      <c r="A320" s="2" t="s">
        <v>17</v>
      </c>
      <c r="B320" s="5">
        <v>12</v>
      </c>
      <c r="C320" s="10">
        <v>0.39700000000000002</v>
      </c>
      <c r="D320" s="23"/>
    </row>
    <row r="321" spans="1:4">
      <c r="A321" s="2" t="s">
        <v>17</v>
      </c>
      <c r="B321" s="5">
        <v>13</v>
      </c>
      <c r="C321" s="10">
        <v>0.39400000000000002</v>
      </c>
      <c r="D321" s="23"/>
    </row>
    <row r="322" spans="1:4">
      <c r="A322" s="2" t="s">
        <v>17</v>
      </c>
      <c r="B322" s="5">
        <v>14</v>
      </c>
      <c r="C322" s="10">
        <v>0.38600000000000001</v>
      </c>
      <c r="D322" s="23"/>
    </row>
    <row r="323" spans="1:4">
      <c r="A323" s="2" t="s">
        <v>17</v>
      </c>
      <c r="B323" s="5">
        <v>15</v>
      </c>
      <c r="C323" s="10">
        <v>0.36</v>
      </c>
      <c r="D323" s="23"/>
    </row>
    <row r="324" spans="1:4">
      <c r="A324" s="2" t="s">
        <v>17</v>
      </c>
      <c r="B324" s="5">
        <v>16</v>
      </c>
      <c r="C324" s="10">
        <v>0.34300000000000003</v>
      </c>
      <c r="D324" s="23"/>
    </row>
    <row r="325" spans="1:4">
      <c r="A325" s="2" t="s">
        <v>17</v>
      </c>
      <c r="B325" s="5">
        <v>17</v>
      </c>
      <c r="C325" s="10">
        <v>0.24299999999999999</v>
      </c>
      <c r="D325" s="23"/>
    </row>
    <row r="326" spans="1:4">
      <c r="A326" s="2" t="s">
        <v>17</v>
      </c>
      <c r="B326" s="5">
        <v>18</v>
      </c>
      <c r="C326" s="10">
        <v>0.19600000000000001</v>
      </c>
      <c r="D326" s="23"/>
    </row>
    <row r="327" spans="1:4">
      <c r="A327" s="2" t="s">
        <v>17</v>
      </c>
      <c r="B327" s="5">
        <v>19</v>
      </c>
      <c r="C327" s="10">
        <v>0.19500000000000001</v>
      </c>
      <c r="D327" s="23"/>
    </row>
    <row r="328" spans="1:4">
      <c r="A328" s="2" t="s">
        <v>17</v>
      </c>
      <c r="B328" s="5">
        <v>2</v>
      </c>
      <c r="C328" s="10">
        <v>0.20499999999999999</v>
      </c>
      <c r="D328" s="23"/>
    </row>
    <row r="329" spans="1:4">
      <c r="A329" s="2" t="s">
        <v>17</v>
      </c>
      <c r="B329" s="5">
        <v>20</v>
      </c>
      <c r="C329" s="10">
        <v>0.19500000000000001</v>
      </c>
      <c r="D329" s="23"/>
    </row>
    <row r="330" spans="1:4">
      <c r="A330" s="2" t="s">
        <v>17</v>
      </c>
      <c r="B330" s="5">
        <v>21</v>
      </c>
      <c r="C330" s="10">
        <v>0.19</v>
      </c>
      <c r="D330" s="23"/>
    </row>
    <row r="331" spans="1:4">
      <c r="A331" s="2" t="s">
        <v>17</v>
      </c>
      <c r="B331" s="5">
        <v>22</v>
      </c>
      <c r="C331" s="10">
        <v>0.19800000000000001</v>
      </c>
      <c r="D331" s="23"/>
    </row>
    <row r="332" spans="1:4">
      <c r="A332" s="2" t="s">
        <v>17</v>
      </c>
      <c r="B332" s="5">
        <v>23</v>
      </c>
      <c r="C332" s="10">
        <v>0.19500000000000001</v>
      </c>
      <c r="D332" s="23"/>
    </row>
    <row r="333" spans="1:4">
      <c r="A333" s="2" t="s">
        <v>17</v>
      </c>
      <c r="B333" s="5">
        <v>3</v>
      </c>
      <c r="C333" s="10">
        <v>0.193</v>
      </c>
      <c r="D333" s="23"/>
    </row>
    <row r="334" spans="1:4">
      <c r="A334" s="2" t="s">
        <v>17</v>
      </c>
      <c r="B334" s="5">
        <v>4</v>
      </c>
      <c r="C334" s="10">
        <v>0.19700000000000001</v>
      </c>
      <c r="D334" s="23"/>
    </row>
    <row r="335" spans="1:4">
      <c r="A335" s="2" t="s">
        <v>17</v>
      </c>
      <c r="B335" s="5">
        <v>5</v>
      </c>
      <c r="C335" s="10">
        <v>0.2</v>
      </c>
      <c r="D335" s="23"/>
    </row>
    <row r="336" spans="1:4">
      <c r="A336" s="2" t="s">
        <v>17</v>
      </c>
      <c r="B336" s="5">
        <v>6</v>
      </c>
      <c r="C336" s="10">
        <v>0.20100000000000001</v>
      </c>
      <c r="D336" s="23"/>
    </row>
    <row r="337" spans="1:4">
      <c r="A337" s="2" t="s">
        <v>17</v>
      </c>
      <c r="B337" s="5">
        <v>7</v>
      </c>
      <c r="C337" s="10">
        <v>0.251</v>
      </c>
      <c r="D337" s="23"/>
    </row>
    <row r="338" spans="1:4">
      <c r="A338" s="2" t="s">
        <v>17</v>
      </c>
      <c r="B338" s="5">
        <v>8</v>
      </c>
      <c r="C338" s="10">
        <v>0.23499999999999999</v>
      </c>
      <c r="D338" s="23"/>
    </row>
    <row r="339" spans="1:4">
      <c r="A339" s="2" t="s">
        <v>17</v>
      </c>
      <c r="B339" s="5">
        <v>9</v>
      </c>
      <c r="C339" s="10">
        <v>0.26800000000000002</v>
      </c>
      <c r="D339" s="23"/>
    </row>
    <row r="340" spans="1:4">
      <c r="A340" s="2" t="s">
        <v>18</v>
      </c>
      <c r="B340" s="5">
        <v>0</v>
      </c>
      <c r="C340" s="10">
        <v>0.19</v>
      </c>
      <c r="D340" s="23"/>
    </row>
    <row r="341" spans="1:4">
      <c r="A341" s="2" t="s">
        <v>18</v>
      </c>
      <c r="B341" s="5">
        <v>1</v>
      </c>
      <c r="C341" s="10">
        <v>0.19400000000000001</v>
      </c>
      <c r="D341" s="23"/>
    </row>
    <row r="342" spans="1:4">
      <c r="A342" s="2" t="s">
        <v>18</v>
      </c>
      <c r="B342" s="5">
        <v>10</v>
      </c>
      <c r="C342" s="10">
        <v>0.51</v>
      </c>
      <c r="D342" s="23"/>
    </row>
    <row r="343" spans="1:4">
      <c r="A343" s="2" t="s">
        <v>18</v>
      </c>
      <c r="B343" s="5">
        <v>11</v>
      </c>
      <c r="C343" s="10">
        <v>0.50800000000000001</v>
      </c>
      <c r="D343" s="23"/>
    </row>
    <row r="344" spans="1:4">
      <c r="A344" s="2" t="s">
        <v>18</v>
      </c>
      <c r="B344" s="5">
        <v>12</v>
      </c>
      <c r="C344" s="10">
        <v>0.51</v>
      </c>
      <c r="D344" s="23"/>
    </row>
    <row r="345" spans="1:4">
      <c r="A345" s="2" t="s">
        <v>18</v>
      </c>
      <c r="B345" s="5">
        <v>13</v>
      </c>
      <c r="C345" s="10">
        <v>0.40600000000000003</v>
      </c>
      <c r="D345" s="23"/>
    </row>
    <row r="346" spans="1:4">
      <c r="A346" s="2" t="s">
        <v>18</v>
      </c>
      <c r="B346" s="5">
        <v>14</v>
      </c>
      <c r="C346" s="10">
        <v>0.40500000000000003</v>
      </c>
      <c r="D346" s="23"/>
    </row>
    <row r="347" spans="1:4">
      <c r="A347" s="2" t="s">
        <v>18</v>
      </c>
      <c r="B347" s="5">
        <v>15</v>
      </c>
      <c r="C347" s="10">
        <v>0.40400000000000003</v>
      </c>
      <c r="D347" s="23"/>
    </row>
    <row r="348" spans="1:4">
      <c r="A348" s="2" t="s">
        <v>18</v>
      </c>
      <c r="B348" s="5">
        <v>16</v>
      </c>
      <c r="C348" s="10">
        <v>0.38400000000000001</v>
      </c>
      <c r="D348" s="23"/>
    </row>
    <row r="349" spans="1:4">
      <c r="A349" s="2" t="s">
        <v>18</v>
      </c>
      <c r="B349" s="5">
        <v>17</v>
      </c>
      <c r="C349" s="10">
        <v>0.312</v>
      </c>
      <c r="D349" s="23"/>
    </row>
    <row r="350" spans="1:4">
      <c r="A350" s="2" t="s">
        <v>18</v>
      </c>
      <c r="B350" s="5">
        <v>18</v>
      </c>
      <c r="C350" s="10">
        <v>0.221</v>
      </c>
      <c r="D350" s="23"/>
    </row>
    <row r="351" spans="1:4">
      <c r="A351" s="2" t="s">
        <v>18</v>
      </c>
      <c r="B351" s="5">
        <v>19</v>
      </c>
      <c r="C351" s="10">
        <v>0.193</v>
      </c>
      <c r="D351" s="23"/>
    </row>
    <row r="352" spans="1:4">
      <c r="A352" s="2" t="s">
        <v>18</v>
      </c>
      <c r="B352" s="5">
        <v>2</v>
      </c>
      <c r="C352" s="10">
        <v>0.19700000000000001</v>
      </c>
      <c r="D352" s="23"/>
    </row>
    <row r="353" spans="1:4">
      <c r="A353" s="2" t="s">
        <v>18</v>
      </c>
      <c r="B353" s="5">
        <v>20</v>
      </c>
      <c r="C353" s="10">
        <v>0.19500000000000001</v>
      </c>
      <c r="D353" s="23"/>
    </row>
    <row r="354" spans="1:4">
      <c r="A354" s="2" t="s">
        <v>18</v>
      </c>
      <c r="B354" s="5">
        <v>21</v>
      </c>
      <c r="C354" s="10">
        <v>0.02</v>
      </c>
      <c r="D354" s="23"/>
    </row>
    <row r="355" spans="1:4">
      <c r="A355" s="2" t="s">
        <v>18</v>
      </c>
      <c r="B355" s="5">
        <v>22</v>
      </c>
      <c r="C355" s="10">
        <v>3.0000000000000001E-3</v>
      </c>
      <c r="D355" s="23"/>
    </row>
    <row r="356" spans="1:4">
      <c r="A356" s="2" t="s">
        <v>18</v>
      </c>
      <c r="B356" s="5">
        <v>23</v>
      </c>
      <c r="C356" s="10">
        <v>1E-3</v>
      </c>
      <c r="D356" s="23"/>
    </row>
    <row r="357" spans="1:4">
      <c r="A357" s="2" t="s">
        <v>18</v>
      </c>
      <c r="B357" s="5">
        <v>3</v>
      </c>
      <c r="C357" s="10">
        <v>0.20300000000000001</v>
      </c>
      <c r="D357" s="23"/>
    </row>
    <row r="358" spans="1:4">
      <c r="A358" s="2" t="s">
        <v>18</v>
      </c>
      <c r="B358" s="5">
        <v>4</v>
      </c>
      <c r="C358" s="10">
        <v>0.2</v>
      </c>
      <c r="D358" s="23"/>
    </row>
    <row r="359" spans="1:4">
      <c r="A359" s="2" t="s">
        <v>18</v>
      </c>
      <c r="B359" s="5">
        <v>5</v>
      </c>
      <c r="C359" s="10">
        <v>0.20799999999999999</v>
      </c>
      <c r="D359" s="23"/>
    </row>
    <row r="360" spans="1:4">
      <c r="A360" s="2" t="s">
        <v>18</v>
      </c>
      <c r="B360" s="5">
        <v>6</v>
      </c>
      <c r="C360" s="10">
        <v>0.20599999999999999</v>
      </c>
      <c r="D360" s="23"/>
    </row>
    <row r="361" spans="1:4">
      <c r="A361" s="2" t="s">
        <v>18</v>
      </c>
      <c r="B361" s="5">
        <v>7</v>
      </c>
      <c r="C361" s="10">
        <v>0.30199999999999999</v>
      </c>
      <c r="D361" s="23"/>
    </row>
    <row r="362" spans="1:4">
      <c r="A362" s="2" t="s">
        <v>18</v>
      </c>
      <c r="B362" s="5">
        <v>8</v>
      </c>
      <c r="C362" s="10">
        <v>0.314</v>
      </c>
      <c r="D362" s="23"/>
    </row>
    <row r="363" spans="1:4">
      <c r="A363" s="2" t="s">
        <v>18</v>
      </c>
      <c r="B363" s="5">
        <v>9</v>
      </c>
      <c r="C363" s="10">
        <v>0.52600000000000002</v>
      </c>
      <c r="D363" s="23"/>
    </row>
    <row r="364" spans="1:4">
      <c r="A364" s="2" t="s">
        <v>19</v>
      </c>
      <c r="B364" s="5">
        <v>0</v>
      </c>
      <c r="C364" s="10">
        <v>2E-3</v>
      </c>
      <c r="D364" s="23"/>
    </row>
    <row r="365" spans="1:4">
      <c r="A365" s="2" t="s">
        <v>19</v>
      </c>
      <c r="B365" s="5">
        <v>1</v>
      </c>
      <c r="C365" s="10">
        <v>3.0000000000000001E-3</v>
      </c>
      <c r="D365" s="23"/>
    </row>
    <row r="366" spans="1:4">
      <c r="A366" s="2" t="s">
        <v>19</v>
      </c>
      <c r="B366" s="5">
        <v>10</v>
      </c>
      <c r="C366" s="10">
        <v>0.51600000000000001</v>
      </c>
      <c r="D366" s="23"/>
    </row>
    <row r="367" spans="1:4">
      <c r="A367" s="2" t="s">
        <v>19</v>
      </c>
      <c r="B367" s="5">
        <v>11</v>
      </c>
      <c r="C367" s="10">
        <v>0.495</v>
      </c>
      <c r="D367" s="23"/>
    </row>
    <row r="368" spans="1:4">
      <c r="A368" s="2" t="s">
        <v>19</v>
      </c>
      <c r="B368" s="5">
        <v>12</v>
      </c>
      <c r="C368" s="10">
        <v>0.52</v>
      </c>
      <c r="D368" s="23"/>
    </row>
    <row r="369" spans="1:4">
      <c r="A369" s="2" t="s">
        <v>19</v>
      </c>
      <c r="B369" s="5">
        <v>13</v>
      </c>
      <c r="C369" s="10">
        <v>0.433</v>
      </c>
      <c r="D369" s="23"/>
    </row>
    <row r="370" spans="1:4">
      <c r="A370" s="2" t="s">
        <v>19</v>
      </c>
      <c r="B370" s="5">
        <v>14</v>
      </c>
      <c r="C370" s="10">
        <v>0.53800000000000003</v>
      </c>
      <c r="D370" s="23"/>
    </row>
    <row r="371" spans="1:4">
      <c r="A371" s="2" t="s">
        <v>19</v>
      </c>
      <c r="B371" s="5">
        <v>15</v>
      </c>
      <c r="C371" s="10">
        <v>0.53800000000000003</v>
      </c>
      <c r="D371" s="23"/>
    </row>
    <row r="372" spans="1:4">
      <c r="A372" s="2" t="s">
        <v>19</v>
      </c>
      <c r="B372" s="5">
        <v>16</v>
      </c>
      <c r="C372" s="10">
        <v>0.47699999999999998</v>
      </c>
      <c r="D372" s="23"/>
    </row>
    <row r="373" spans="1:4">
      <c r="A373" s="2" t="s">
        <v>19</v>
      </c>
      <c r="B373" s="5">
        <v>17</v>
      </c>
      <c r="C373" s="10">
        <v>0.46100000000000002</v>
      </c>
      <c r="D373" s="23"/>
    </row>
    <row r="374" spans="1:4">
      <c r="A374" s="2" t="s">
        <v>19</v>
      </c>
      <c r="B374" s="5">
        <v>18</v>
      </c>
      <c r="C374" s="10">
        <v>0.26600000000000001</v>
      </c>
      <c r="D374" s="23"/>
    </row>
    <row r="375" spans="1:4">
      <c r="A375" s="2" t="s">
        <v>19</v>
      </c>
      <c r="B375" s="5">
        <v>19</v>
      </c>
      <c r="C375" s="10">
        <v>0.122</v>
      </c>
      <c r="D375" s="23"/>
    </row>
    <row r="376" spans="1:4">
      <c r="A376" s="2" t="s">
        <v>19</v>
      </c>
      <c r="B376" s="5">
        <v>2</v>
      </c>
      <c r="C376" s="10">
        <v>2E-3</v>
      </c>
      <c r="D376" s="23"/>
    </row>
    <row r="377" spans="1:4">
      <c r="A377" s="2" t="s">
        <v>19</v>
      </c>
      <c r="B377" s="5">
        <v>20</v>
      </c>
      <c r="C377" s="10">
        <v>0.14399999999999999</v>
      </c>
      <c r="D377" s="23"/>
    </row>
    <row r="378" spans="1:4">
      <c r="A378" s="2" t="s">
        <v>19</v>
      </c>
      <c r="B378" s="5">
        <v>21</v>
      </c>
      <c r="C378" s="10">
        <v>0.20399999999999999</v>
      </c>
      <c r="D378" s="23"/>
    </row>
    <row r="379" spans="1:4">
      <c r="A379" s="2" t="s">
        <v>19</v>
      </c>
      <c r="B379" s="5">
        <v>22</v>
      </c>
      <c r="C379" s="10">
        <v>0.20699999999999999</v>
      </c>
      <c r="D379" s="23"/>
    </row>
    <row r="380" spans="1:4">
      <c r="A380" s="2" t="s">
        <v>19</v>
      </c>
      <c r="B380" s="5">
        <v>23</v>
      </c>
      <c r="C380" s="10">
        <v>0.20300000000000001</v>
      </c>
      <c r="D380" s="23"/>
    </row>
    <row r="381" spans="1:4">
      <c r="A381" s="2" t="s">
        <v>19</v>
      </c>
      <c r="B381" s="5">
        <v>3</v>
      </c>
      <c r="C381" s="10">
        <v>2E-3</v>
      </c>
      <c r="D381" s="23"/>
    </row>
    <row r="382" spans="1:4">
      <c r="A382" s="2" t="s">
        <v>19</v>
      </c>
      <c r="B382" s="5">
        <v>4</v>
      </c>
      <c r="C382" s="10">
        <v>2E-3</v>
      </c>
      <c r="D382" s="23"/>
    </row>
    <row r="383" spans="1:4">
      <c r="A383" s="2" t="s">
        <v>19</v>
      </c>
      <c r="B383" s="5">
        <v>5</v>
      </c>
      <c r="C383" s="10">
        <v>2E-3</v>
      </c>
      <c r="D383" s="23"/>
    </row>
    <row r="384" spans="1:4">
      <c r="A384" s="2" t="s">
        <v>19</v>
      </c>
      <c r="B384" s="5">
        <v>6</v>
      </c>
      <c r="C384" s="10">
        <v>3.0000000000000001E-3</v>
      </c>
      <c r="D384" s="23"/>
    </row>
    <row r="385" spans="1:4">
      <c r="A385" s="2" t="s">
        <v>19</v>
      </c>
      <c r="B385" s="5">
        <v>7</v>
      </c>
      <c r="C385" s="10">
        <v>6.7000000000000004E-2</v>
      </c>
      <c r="D385" s="23"/>
    </row>
    <row r="386" spans="1:4">
      <c r="A386" s="2" t="s">
        <v>19</v>
      </c>
      <c r="B386" s="5">
        <v>8</v>
      </c>
      <c r="C386" s="10">
        <v>0.26100000000000001</v>
      </c>
      <c r="D386" s="23"/>
    </row>
    <row r="387" spans="1:4">
      <c r="A387" s="2" t="s">
        <v>19</v>
      </c>
      <c r="B387" s="5">
        <v>9</v>
      </c>
      <c r="C387" s="10">
        <v>0.373</v>
      </c>
      <c r="D387" s="23"/>
    </row>
    <row r="388" spans="1:4">
      <c r="A388" s="2" t="s">
        <v>20</v>
      </c>
      <c r="B388" s="5">
        <v>0</v>
      </c>
      <c r="C388" s="10">
        <v>0.20399999999999999</v>
      </c>
      <c r="D388" s="23"/>
    </row>
    <row r="389" spans="1:4">
      <c r="A389" s="2" t="s">
        <v>20</v>
      </c>
      <c r="B389" s="5">
        <v>1</v>
      </c>
      <c r="C389" s="10">
        <v>0.19900000000000001</v>
      </c>
      <c r="D389" s="23"/>
    </row>
    <row r="390" spans="1:4">
      <c r="A390" s="2" t="s">
        <v>20</v>
      </c>
      <c r="B390" s="5">
        <v>10</v>
      </c>
      <c r="C390" s="10">
        <v>0.495</v>
      </c>
      <c r="D390" s="23"/>
    </row>
    <row r="391" spans="1:4">
      <c r="A391" s="2" t="s">
        <v>20</v>
      </c>
      <c r="B391" s="5">
        <v>11</v>
      </c>
      <c r="C391" s="10">
        <v>0.47299999999999998</v>
      </c>
      <c r="D391" s="23"/>
    </row>
    <row r="392" spans="1:4">
      <c r="A392" s="2" t="s">
        <v>20</v>
      </c>
      <c r="B392" s="5">
        <v>12</v>
      </c>
      <c r="C392" s="10">
        <v>0.46400000000000002</v>
      </c>
      <c r="D392" s="23"/>
    </row>
    <row r="393" spans="1:4">
      <c r="A393" s="2" t="s">
        <v>20</v>
      </c>
      <c r="B393" s="5">
        <v>13</v>
      </c>
      <c r="C393" s="10">
        <v>0.504</v>
      </c>
      <c r="D393" s="23"/>
    </row>
    <row r="394" spans="1:4">
      <c r="A394" s="2" t="s">
        <v>20</v>
      </c>
      <c r="B394" s="5">
        <v>14</v>
      </c>
      <c r="C394" s="10">
        <v>0.50900000000000001</v>
      </c>
      <c r="D394" s="23"/>
    </row>
    <row r="395" spans="1:4">
      <c r="A395" s="2" t="s">
        <v>20</v>
      </c>
      <c r="B395" s="5">
        <v>15</v>
      </c>
      <c r="C395" s="10">
        <v>0.50600000000000001</v>
      </c>
      <c r="D395" s="23"/>
    </row>
    <row r="396" spans="1:4">
      <c r="A396" s="2" t="s">
        <v>20</v>
      </c>
      <c r="B396" s="5">
        <v>16</v>
      </c>
      <c r="C396" s="10">
        <v>0.45200000000000001</v>
      </c>
      <c r="D396" s="23"/>
    </row>
    <row r="397" spans="1:4">
      <c r="A397" s="2" t="s">
        <v>20</v>
      </c>
      <c r="B397" s="5">
        <v>17</v>
      </c>
      <c r="C397" s="10">
        <v>0.41099999999999998</v>
      </c>
      <c r="D397" s="23"/>
    </row>
    <row r="398" spans="1:4">
      <c r="A398" s="2" t="s">
        <v>20</v>
      </c>
      <c r="B398" s="5">
        <v>18</v>
      </c>
      <c r="C398" s="10">
        <v>0.311</v>
      </c>
      <c r="D398" s="23"/>
    </row>
    <row r="399" spans="1:4">
      <c r="A399" s="2" t="s">
        <v>20</v>
      </c>
      <c r="B399" s="5">
        <v>19</v>
      </c>
      <c r="C399" s="10">
        <v>0.22</v>
      </c>
      <c r="D399" s="23"/>
    </row>
    <row r="400" spans="1:4">
      <c r="A400" s="2" t="s">
        <v>20</v>
      </c>
      <c r="B400" s="5">
        <v>2</v>
      </c>
      <c r="C400" s="10">
        <v>0.20399999999999999</v>
      </c>
      <c r="D400" s="23"/>
    </row>
    <row r="401" spans="1:4">
      <c r="A401" s="2" t="s">
        <v>20</v>
      </c>
      <c r="B401" s="5">
        <v>20</v>
      </c>
      <c r="C401" s="10">
        <v>0.18099999999999999</v>
      </c>
      <c r="D401" s="23"/>
    </row>
    <row r="402" spans="1:4">
      <c r="A402" s="2" t="s">
        <v>20</v>
      </c>
      <c r="B402" s="5">
        <v>21</v>
      </c>
      <c r="C402" s="10">
        <v>0.17699999999999999</v>
      </c>
      <c r="D402" s="23"/>
    </row>
    <row r="403" spans="1:4">
      <c r="A403" s="2" t="s">
        <v>20</v>
      </c>
      <c r="B403" s="5">
        <v>22</v>
      </c>
      <c r="C403" s="10">
        <v>0.17799999999999999</v>
      </c>
      <c r="D403" s="23"/>
    </row>
    <row r="404" spans="1:4">
      <c r="A404" s="2" t="s">
        <v>20</v>
      </c>
      <c r="B404" s="5">
        <v>23</v>
      </c>
      <c r="C404" s="10">
        <v>0.17599999999999999</v>
      </c>
      <c r="D404" s="23"/>
    </row>
    <row r="405" spans="1:4">
      <c r="A405" s="2" t="s">
        <v>20</v>
      </c>
      <c r="B405" s="5">
        <v>3</v>
      </c>
      <c r="C405" s="10">
        <v>0.20100000000000001</v>
      </c>
      <c r="D405" s="23"/>
    </row>
    <row r="406" spans="1:4">
      <c r="A406" s="2" t="s">
        <v>20</v>
      </c>
      <c r="B406" s="5">
        <v>4</v>
      </c>
      <c r="C406" s="10">
        <v>0.20100000000000001</v>
      </c>
      <c r="D406" s="23"/>
    </row>
    <row r="407" spans="1:4">
      <c r="A407" s="2" t="s">
        <v>20</v>
      </c>
      <c r="B407" s="5">
        <v>5</v>
      </c>
      <c r="C407" s="10">
        <v>0.20300000000000001</v>
      </c>
      <c r="D407" s="23"/>
    </row>
    <row r="408" spans="1:4">
      <c r="A408" s="2" t="s">
        <v>20</v>
      </c>
      <c r="B408" s="5">
        <v>6</v>
      </c>
      <c r="C408" s="10">
        <v>0.20399999999999999</v>
      </c>
      <c r="D408" s="23"/>
    </row>
    <row r="409" spans="1:4">
      <c r="A409" s="2" t="s">
        <v>20</v>
      </c>
      <c r="B409" s="5">
        <v>7</v>
      </c>
      <c r="C409" s="10">
        <v>0.28199999999999997</v>
      </c>
      <c r="D409" s="23"/>
    </row>
    <row r="410" spans="1:4">
      <c r="A410" s="2" t="s">
        <v>20</v>
      </c>
      <c r="B410" s="5">
        <v>8</v>
      </c>
      <c r="C410" s="10">
        <v>0.376</v>
      </c>
      <c r="D410" s="23"/>
    </row>
    <row r="411" spans="1:4">
      <c r="A411" s="2" t="s">
        <v>20</v>
      </c>
      <c r="B411" s="5">
        <v>9</v>
      </c>
      <c r="C411" s="10">
        <v>0.46899999999999997</v>
      </c>
      <c r="D411" s="23"/>
    </row>
    <row r="412" spans="1:4">
      <c r="A412" s="2" t="s">
        <v>21</v>
      </c>
      <c r="B412" s="5">
        <v>0</v>
      </c>
      <c r="C412" s="10">
        <v>0.17799999999999999</v>
      </c>
      <c r="D412" s="23"/>
    </row>
    <row r="413" spans="1:4">
      <c r="A413" s="2" t="s">
        <v>21</v>
      </c>
      <c r="B413" s="5">
        <v>1</v>
      </c>
      <c r="C413" s="10">
        <v>0.17499999999999999</v>
      </c>
      <c r="D413" s="23"/>
    </row>
    <row r="414" spans="1:4">
      <c r="A414" s="2" t="s">
        <v>21</v>
      </c>
      <c r="B414" s="5">
        <v>10</v>
      </c>
      <c r="C414" s="10">
        <v>0.33200000000000002</v>
      </c>
      <c r="D414" s="23"/>
    </row>
    <row r="415" spans="1:4">
      <c r="A415" s="2" t="s">
        <v>21</v>
      </c>
      <c r="B415" s="5">
        <v>11</v>
      </c>
      <c r="C415" s="10">
        <v>0.33400000000000002</v>
      </c>
      <c r="D415" s="23"/>
    </row>
    <row r="416" spans="1:4">
      <c r="A416" s="2" t="s">
        <v>21</v>
      </c>
      <c r="B416" s="5">
        <v>12</v>
      </c>
      <c r="C416" s="10">
        <v>0.29499999999999998</v>
      </c>
      <c r="D416" s="23"/>
    </row>
    <row r="417" spans="1:4">
      <c r="A417" s="2" t="s">
        <v>21</v>
      </c>
      <c r="B417" s="5">
        <v>13</v>
      </c>
      <c r="C417" s="10">
        <v>0.33700000000000002</v>
      </c>
      <c r="D417" s="23"/>
    </row>
    <row r="418" spans="1:4">
      <c r="A418" s="2" t="s">
        <v>21</v>
      </c>
      <c r="B418" s="5">
        <v>14</v>
      </c>
      <c r="C418" s="10">
        <v>0.33600000000000002</v>
      </c>
      <c r="D418" s="23"/>
    </row>
    <row r="419" spans="1:4">
      <c r="A419" s="2" t="s">
        <v>21</v>
      </c>
      <c r="B419" s="5">
        <v>15</v>
      </c>
      <c r="C419" s="10">
        <v>0.30399999999999999</v>
      </c>
      <c r="D419" s="23"/>
    </row>
    <row r="420" spans="1:4">
      <c r="A420" s="2" t="s">
        <v>21</v>
      </c>
      <c r="B420" s="5">
        <v>16</v>
      </c>
      <c r="C420" s="10">
        <v>0.33400000000000002</v>
      </c>
      <c r="D420" s="23"/>
    </row>
    <row r="421" spans="1:4">
      <c r="A421" s="2" t="s">
        <v>21</v>
      </c>
      <c r="B421" s="5">
        <v>17</v>
      </c>
      <c r="C421" s="10">
        <v>0.27800000000000002</v>
      </c>
      <c r="D421" s="23"/>
    </row>
    <row r="422" spans="1:4">
      <c r="A422" s="2" t="s">
        <v>21</v>
      </c>
      <c r="B422" s="5">
        <v>18</v>
      </c>
      <c r="C422" s="10">
        <v>0.20599999999999999</v>
      </c>
      <c r="D422" s="23"/>
    </row>
    <row r="423" spans="1:4">
      <c r="A423" s="2" t="s">
        <v>21</v>
      </c>
      <c r="B423" s="5">
        <v>19</v>
      </c>
      <c r="C423" s="10">
        <v>0.20300000000000001</v>
      </c>
      <c r="D423" s="23"/>
    </row>
    <row r="424" spans="1:4">
      <c r="A424" s="2" t="s">
        <v>21</v>
      </c>
      <c r="B424" s="5">
        <v>2</v>
      </c>
      <c r="C424" s="10">
        <v>0.17899999999999999</v>
      </c>
      <c r="D424" s="23"/>
    </row>
    <row r="425" spans="1:4">
      <c r="A425" s="2" t="s">
        <v>21</v>
      </c>
      <c r="B425" s="5">
        <v>20</v>
      </c>
      <c r="C425" s="10">
        <v>0.19400000000000001</v>
      </c>
      <c r="D425" s="23"/>
    </row>
    <row r="426" spans="1:4">
      <c r="A426" s="2" t="s">
        <v>21</v>
      </c>
      <c r="B426" s="5">
        <v>21</v>
      </c>
      <c r="C426" s="10">
        <v>0.19800000000000001</v>
      </c>
      <c r="D426" s="23"/>
    </row>
    <row r="427" spans="1:4">
      <c r="A427" s="2" t="s">
        <v>21</v>
      </c>
      <c r="B427" s="5">
        <v>22</v>
      </c>
      <c r="C427" s="10">
        <v>0.19400000000000001</v>
      </c>
      <c r="D427" s="23"/>
    </row>
    <row r="428" spans="1:4">
      <c r="A428" s="2" t="s">
        <v>21</v>
      </c>
      <c r="B428" s="5">
        <v>23</v>
      </c>
      <c r="C428" s="10">
        <v>0.193</v>
      </c>
      <c r="D428" s="23"/>
    </row>
    <row r="429" spans="1:4">
      <c r="A429" s="2" t="s">
        <v>21</v>
      </c>
      <c r="B429" s="5">
        <v>3</v>
      </c>
      <c r="C429" s="10">
        <v>0.17699999999999999</v>
      </c>
      <c r="D429" s="23"/>
    </row>
    <row r="430" spans="1:4">
      <c r="A430" s="2" t="s">
        <v>21</v>
      </c>
      <c r="B430" s="5">
        <v>4</v>
      </c>
      <c r="C430" s="10">
        <v>0.17799999999999999</v>
      </c>
      <c r="D430" s="23"/>
    </row>
    <row r="431" spans="1:4">
      <c r="A431" s="2" t="s">
        <v>21</v>
      </c>
      <c r="B431" s="5">
        <v>5</v>
      </c>
      <c r="C431" s="10">
        <v>0.17899999999999999</v>
      </c>
      <c r="D431" s="23"/>
    </row>
    <row r="432" spans="1:4">
      <c r="A432" s="2" t="s">
        <v>21</v>
      </c>
      <c r="B432" s="5">
        <v>6</v>
      </c>
      <c r="C432" s="10">
        <v>0.17699999999999999</v>
      </c>
      <c r="D432" s="23"/>
    </row>
    <row r="433" spans="1:4">
      <c r="A433" s="2" t="s">
        <v>21</v>
      </c>
      <c r="B433" s="5">
        <v>7</v>
      </c>
      <c r="C433" s="10">
        <v>0.24399999999999999</v>
      </c>
      <c r="D433" s="23"/>
    </row>
    <row r="434" spans="1:4">
      <c r="A434" s="2" t="s">
        <v>21</v>
      </c>
      <c r="B434" s="5">
        <v>8</v>
      </c>
      <c r="C434" s="10">
        <v>0.29699999999999999</v>
      </c>
      <c r="D434" s="23"/>
    </row>
    <row r="435" spans="1:4">
      <c r="A435" s="2" t="s">
        <v>21</v>
      </c>
      <c r="B435" s="5">
        <v>9</v>
      </c>
      <c r="C435" s="10">
        <v>0.35199999999999998</v>
      </c>
      <c r="D435" s="23"/>
    </row>
    <row r="436" spans="1:4">
      <c r="A436" s="2" t="s">
        <v>22</v>
      </c>
      <c r="B436" s="5">
        <v>0</v>
      </c>
      <c r="C436" s="10">
        <v>0.20100000000000001</v>
      </c>
      <c r="D436" s="23"/>
    </row>
    <row r="437" spans="1:4">
      <c r="A437" s="2" t="s">
        <v>22</v>
      </c>
      <c r="B437" s="5">
        <v>1</v>
      </c>
      <c r="C437" s="10">
        <v>0.19700000000000001</v>
      </c>
      <c r="D437" s="23"/>
    </row>
    <row r="438" spans="1:4">
      <c r="A438" s="2" t="s">
        <v>22</v>
      </c>
      <c r="B438" s="5">
        <v>10</v>
      </c>
      <c r="C438" s="10">
        <v>0.32200000000000001</v>
      </c>
      <c r="D438" s="23"/>
    </row>
    <row r="439" spans="1:4">
      <c r="A439" s="2" t="s">
        <v>22</v>
      </c>
      <c r="B439" s="5">
        <v>11</v>
      </c>
      <c r="C439" s="10">
        <v>0.24099999999999999</v>
      </c>
      <c r="D439" s="23"/>
    </row>
    <row r="440" spans="1:4">
      <c r="A440" s="2" t="s">
        <v>22</v>
      </c>
      <c r="B440" s="5">
        <v>12</v>
      </c>
      <c r="C440" s="10">
        <v>0.20699999999999999</v>
      </c>
      <c r="D440" s="23"/>
    </row>
    <row r="441" spans="1:4">
      <c r="A441" s="2" t="s">
        <v>22</v>
      </c>
      <c r="B441" s="5">
        <v>13</v>
      </c>
      <c r="C441" s="10">
        <v>0.24199999999999999</v>
      </c>
      <c r="D441" s="23"/>
    </row>
    <row r="442" spans="1:4">
      <c r="A442" s="2" t="s">
        <v>22</v>
      </c>
      <c r="B442" s="5">
        <v>14</v>
      </c>
      <c r="C442" s="10">
        <v>0.28799999999999998</v>
      </c>
      <c r="D442" s="23"/>
    </row>
    <row r="443" spans="1:4">
      <c r="A443" s="2" t="s">
        <v>22</v>
      </c>
      <c r="B443" s="5">
        <v>15</v>
      </c>
      <c r="C443" s="10">
        <v>0.35</v>
      </c>
      <c r="D443" s="23"/>
    </row>
    <row r="444" spans="1:4">
      <c r="A444" s="2" t="s">
        <v>22</v>
      </c>
      <c r="B444" s="5">
        <v>16</v>
      </c>
      <c r="C444" s="10">
        <v>0.26800000000000002</v>
      </c>
      <c r="D444" s="23"/>
    </row>
    <row r="445" spans="1:4">
      <c r="A445" s="2" t="s">
        <v>22</v>
      </c>
      <c r="B445" s="5">
        <v>17</v>
      </c>
      <c r="C445" s="10">
        <v>0.29099999999999998</v>
      </c>
      <c r="D445" s="23"/>
    </row>
    <row r="446" spans="1:4">
      <c r="A446" s="2" t="s">
        <v>22</v>
      </c>
      <c r="B446" s="5">
        <v>18</v>
      </c>
      <c r="C446" s="10">
        <v>0.374</v>
      </c>
      <c r="D446" s="23"/>
    </row>
    <row r="447" spans="1:4">
      <c r="A447" s="2" t="s">
        <v>22</v>
      </c>
      <c r="B447" s="5">
        <v>19</v>
      </c>
      <c r="C447" s="10">
        <v>0.21099999999999999</v>
      </c>
      <c r="D447" s="23"/>
    </row>
    <row r="448" spans="1:4">
      <c r="A448" s="2" t="s">
        <v>22</v>
      </c>
      <c r="B448" s="5">
        <v>2</v>
      </c>
      <c r="C448" s="10">
        <v>0.20699999999999999</v>
      </c>
      <c r="D448" s="23"/>
    </row>
    <row r="449" spans="1:4">
      <c r="A449" s="2" t="s">
        <v>22</v>
      </c>
      <c r="B449" s="5">
        <v>20</v>
      </c>
      <c r="C449" s="10">
        <v>0.19500000000000001</v>
      </c>
      <c r="D449" s="23"/>
    </row>
    <row r="450" spans="1:4">
      <c r="A450" s="2" t="s">
        <v>22</v>
      </c>
      <c r="B450" s="5">
        <v>21</v>
      </c>
      <c r="C450" s="10">
        <v>0.20399999999999999</v>
      </c>
      <c r="D450" s="23"/>
    </row>
    <row r="451" spans="1:4">
      <c r="A451" s="2" t="s">
        <v>22</v>
      </c>
      <c r="B451" s="5">
        <v>22</v>
      </c>
      <c r="C451" s="10">
        <v>0.19400000000000001</v>
      </c>
      <c r="D451" s="23"/>
    </row>
    <row r="452" spans="1:4">
      <c r="A452" s="2" t="s">
        <v>22</v>
      </c>
      <c r="B452" s="5">
        <v>23</v>
      </c>
      <c r="C452" s="10">
        <v>0.20100000000000001</v>
      </c>
      <c r="D452" s="23"/>
    </row>
    <row r="453" spans="1:4">
      <c r="A453" s="2" t="s">
        <v>22</v>
      </c>
      <c r="B453" s="5">
        <v>3</v>
      </c>
      <c r="C453" s="10">
        <v>0.2</v>
      </c>
      <c r="D453" s="23"/>
    </row>
    <row r="454" spans="1:4">
      <c r="A454" s="2" t="s">
        <v>22</v>
      </c>
      <c r="B454" s="5">
        <v>4</v>
      </c>
      <c r="C454" s="10">
        <v>0.19400000000000001</v>
      </c>
      <c r="D454" s="23"/>
    </row>
    <row r="455" spans="1:4">
      <c r="A455" s="2" t="s">
        <v>22</v>
      </c>
      <c r="B455" s="5">
        <v>5</v>
      </c>
      <c r="C455" s="10">
        <v>0.185</v>
      </c>
      <c r="D455" s="23"/>
    </row>
    <row r="456" spans="1:4">
      <c r="A456" s="2" t="s">
        <v>22</v>
      </c>
      <c r="B456" s="5">
        <v>6</v>
      </c>
      <c r="C456" s="10">
        <v>0.188</v>
      </c>
      <c r="D456" s="23"/>
    </row>
    <row r="457" spans="1:4">
      <c r="A457" s="2" t="s">
        <v>22</v>
      </c>
      <c r="B457" s="5">
        <v>7</v>
      </c>
      <c r="C457" s="10">
        <v>0.224</v>
      </c>
      <c r="D457" s="23"/>
    </row>
    <row r="458" spans="1:4">
      <c r="A458" s="2" t="s">
        <v>22</v>
      </c>
      <c r="B458" s="5">
        <v>8</v>
      </c>
      <c r="C458" s="10">
        <v>0.20300000000000001</v>
      </c>
      <c r="D458" s="23"/>
    </row>
    <row r="459" spans="1:4">
      <c r="A459" s="2" t="s">
        <v>22</v>
      </c>
      <c r="B459" s="5">
        <v>9</v>
      </c>
      <c r="C459" s="10">
        <v>0.316</v>
      </c>
      <c r="D459" s="23"/>
    </row>
    <row r="460" spans="1:4">
      <c r="A460" s="2" t="s">
        <v>23</v>
      </c>
      <c r="B460" s="5">
        <v>0</v>
      </c>
      <c r="C460" s="10">
        <v>0.2</v>
      </c>
      <c r="D460" s="23"/>
    </row>
    <row r="461" spans="1:4">
      <c r="A461" s="2" t="s">
        <v>23</v>
      </c>
      <c r="B461" s="5">
        <v>1</v>
      </c>
      <c r="C461" s="10">
        <v>0.20200000000000001</v>
      </c>
      <c r="D461" s="23"/>
    </row>
    <row r="462" spans="1:4">
      <c r="A462" s="2" t="s">
        <v>23</v>
      </c>
      <c r="B462" s="5">
        <v>10</v>
      </c>
      <c r="C462" s="10">
        <v>0.317</v>
      </c>
      <c r="D462" s="23"/>
    </row>
    <row r="463" spans="1:4">
      <c r="A463" s="2" t="s">
        <v>23</v>
      </c>
      <c r="B463" s="5">
        <v>11</v>
      </c>
      <c r="C463" s="10">
        <v>0.28399999999999997</v>
      </c>
      <c r="D463" s="23"/>
    </row>
    <row r="464" spans="1:4">
      <c r="A464" s="2" t="s">
        <v>23</v>
      </c>
      <c r="B464" s="5">
        <v>12</v>
      </c>
      <c r="C464" s="10">
        <v>0.28499999999999998</v>
      </c>
      <c r="D464" s="23"/>
    </row>
    <row r="465" spans="1:4">
      <c r="A465" s="2" t="s">
        <v>23</v>
      </c>
      <c r="B465" s="5">
        <v>13</v>
      </c>
      <c r="C465" s="10">
        <v>0.34399999999999997</v>
      </c>
      <c r="D465" s="23"/>
    </row>
    <row r="466" spans="1:4">
      <c r="A466" s="2" t="s">
        <v>23</v>
      </c>
      <c r="B466" s="5">
        <v>14</v>
      </c>
      <c r="C466" s="10">
        <v>0.38700000000000001</v>
      </c>
      <c r="D466" s="23"/>
    </row>
    <row r="467" spans="1:4">
      <c r="A467" s="2" t="s">
        <v>23</v>
      </c>
      <c r="B467" s="5">
        <v>15</v>
      </c>
      <c r="C467" s="10">
        <v>0.46899999999999997</v>
      </c>
      <c r="D467" s="23"/>
    </row>
    <row r="468" spans="1:4">
      <c r="A468" s="2" t="s">
        <v>23</v>
      </c>
      <c r="B468" s="5">
        <v>16</v>
      </c>
      <c r="C468" s="10">
        <v>0.44800000000000001</v>
      </c>
      <c r="D468" s="23"/>
    </row>
    <row r="469" spans="1:4">
      <c r="A469" s="2" t="s">
        <v>23</v>
      </c>
      <c r="B469" s="5">
        <v>17</v>
      </c>
      <c r="C469" s="10">
        <v>0.378</v>
      </c>
      <c r="D469" s="23"/>
    </row>
    <row r="470" spans="1:4">
      <c r="A470" s="2" t="s">
        <v>23</v>
      </c>
      <c r="B470" s="5">
        <v>18</v>
      </c>
      <c r="C470" s="10">
        <v>0.311</v>
      </c>
      <c r="D470" s="23"/>
    </row>
    <row r="471" spans="1:4">
      <c r="A471" s="2" t="s">
        <v>23</v>
      </c>
      <c r="B471" s="5">
        <v>19</v>
      </c>
      <c r="C471" s="10">
        <v>0.11899999999999999</v>
      </c>
      <c r="D471" s="23"/>
    </row>
    <row r="472" spans="1:4">
      <c r="A472" s="2" t="s">
        <v>23</v>
      </c>
      <c r="B472" s="5">
        <v>2</v>
      </c>
      <c r="C472" s="10">
        <v>0.19600000000000001</v>
      </c>
      <c r="D472" s="23"/>
    </row>
    <row r="473" spans="1:4">
      <c r="A473" s="2" t="s">
        <v>23</v>
      </c>
      <c r="B473" s="5">
        <v>20</v>
      </c>
      <c r="C473" s="10">
        <v>1E-3</v>
      </c>
      <c r="D473" s="23"/>
    </row>
    <row r="474" spans="1:4">
      <c r="A474" s="2" t="s">
        <v>23</v>
      </c>
      <c r="B474" s="5">
        <v>21</v>
      </c>
      <c r="C474" s="10">
        <v>2E-3</v>
      </c>
      <c r="D474" s="23"/>
    </row>
    <row r="475" spans="1:4">
      <c r="A475" s="2" t="s">
        <v>23</v>
      </c>
      <c r="B475" s="5">
        <v>22</v>
      </c>
      <c r="C475" s="10">
        <v>2E-3</v>
      </c>
      <c r="D475" s="23"/>
    </row>
    <row r="476" spans="1:4">
      <c r="A476" s="2" t="s">
        <v>23</v>
      </c>
      <c r="B476" s="5">
        <v>23</v>
      </c>
      <c r="C476" s="10">
        <v>2E-3</v>
      </c>
      <c r="D476" s="23"/>
    </row>
    <row r="477" spans="1:4">
      <c r="A477" s="2" t="s">
        <v>23</v>
      </c>
      <c r="B477" s="5">
        <v>3</v>
      </c>
      <c r="C477" s="10">
        <v>0.129</v>
      </c>
      <c r="D477" s="23"/>
    </row>
    <row r="478" spans="1:4">
      <c r="A478" s="2" t="s">
        <v>23</v>
      </c>
      <c r="B478" s="5">
        <v>4</v>
      </c>
      <c r="C478" s="10">
        <v>4.0000000000000001E-3</v>
      </c>
      <c r="D478" s="23"/>
    </row>
    <row r="479" spans="1:4">
      <c r="A479" s="2" t="s">
        <v>23</v>
      </c>
      <c r="B479" s="5">
        <v>5</v>
      </c>
      <c r="C479" s="10">
        <v>3.0000000000000001E-3</v>
      </c>
      <c r="D479" s="23"/>
    </row>
    <row r="480" spans="1:4">
      <c r="A480" s="2" t="s">
        <v>23</v>
      </c>
      <c r="B480" s="5">
        <v>6</v>
      </c>
      <c r="C480" s="10">
        <v>3.0000000000000001E-3</v>
      </c>
      <c r="D480" s="23"/>
    </row>
    <row r="481" spans="1:4">
      <c r="A481" s="2" t="s">
        <v>23</v>
      </c>
      <c r="B481" s="5">
        <v>7</v>
      </c>
      <c r="C481" s="10">
        <v>8.6999999999999994E-2</v>
      </c>
      <c r="D481" s="23"/>
    </row>
    <row r="482" spans="1:4">
      <c r="A482" s="2" t="s">
        <v>23</v>
      </c>
      <c r="B482" s="5">
        <v>8</v>
      </c>
      <c r="C482" s="10">
        <v>0.23100000000000001</v>
      </c>
      <c r="D482" s="23"/>
    </row>
    <row r="483" spans="1:4">
      <c r="A483" s="2" t="s">
        <v>23</v>
      </c>
      <c r="B483" s="5">
        <v>9</v>
      </c>
      <c r="C483" s="10">
        <v>0.33300000000000002</v>
      </c>
      <c r="D483" s="23"/>
    </row>
    <row r="484" spans="1:4">
      <c r="A484" s="2" t="s">
        <v>24</v>
      </c>
      <c r="B484" s="5">
        <v>0</v>
      </c>
      <c r="C484" s="10">
        <v>2E-3</v>
      </c>
      <c r="D484" s="23"/>
    </row>
    <row r="485" spans="1:4">
      <c r="A485" s="2" t="s">
        <v>24</v>
      </c>
      <c r="B485" s="5">
        <v>1</v>
      </c>
      <c r="C485" s="10">
        <v>0</v>
      </c>
      <c r="D485" s="23"/>
    </row>
    <row r="486" spans="1:4">
      <c r="A486" s="2" t="s">
        <v>24</v>
      </c>
      <c r="B486" s="5">
        <v>10</v>
      </c>
      <c r="C486" s="10">
        <v>0.377</v>
      </c>
      <c r="D486" s="23"/>
    </row>
    <row r="487" spans="1:4">
      <c r="A487" s="2" t="s">
        <v>24</v>
      </c>
      <c r="B487" s="5">
        <v>11</v>
      </c>
      <c r="C487" s="10">
        <v>0.38</v>
      </c>
      <c r="D487" s="23"/>
    </row>
    <row r="488" spans="1:4">
      <c r="A488" s="2" t="s">
        <v>24</v>
      </c>
      <c r="B488" s="5">
        <v>12</v>
      </c>
      <c r="C488" s="10">
        <v>0.36599999999999999</v>
      </c>
      <c r="D488" s="23"/>
    </row>
    <row r="489" spans="1:4">
      <c r="A489" s="2" t="s">
        <v>24</v>
      </c>
      <c r="B489" s="5">
        <v>13</v>
      </c>
      <c r="C489" s="10">
        <v>0.35899999999999999</v>
      </c>
      <c r="D489" s="23"/>
    </row>
    <row r="490" spans="1:4">
      <c r="A490" s="2" t="s">
        <v>24</v>
      </c>
      <c r="B490" s="5">
        <v>14</v>
      </c>
      <c r="C490" s="10">
        <v>0.35899999999999999</v>
      </c>
      <c r="D490" s="23"/>
    </row>
    <row r="491" spans="1:4">
      <c r="A491" s="2" t="s">
        <v>24</v>
      </c>
      <c r="B491" s="5">
        <v>15</v>
      </c>
      <c r="C491" s="10">
        <v>0.379</v>
      </c>
      <c r="D491" s="23"/>
    </row>
    <row r="492" spans="1:4">
      <c r="A492" s="2" t="s">
        <v>24</v>
      </c>
      <c r="B492" s="5">
        <v>16</v>
      </c>
      <c r="C492" s="10">
        <v>0.38200000000000001</v>
      </c>
      <c r="D492" s="23"/>
    </row>
    <row r="493" spans="1:4">
      <c r="A493" s="2" t="s">
        <v>24</v>
      </c>
      <c r="B493" s="5">
        <v>17</v>
      </c>
      <c r="C493" s="10">
        <v>0.36899999999999999</v>
      </c>
      <c r="D493" s="23"/>
    </row>
    <row r="494" spans="1:4">
      <c r="A494" s="2" t="s">
        <v>24</v>
      </c>
      <c r="B494" s="5">
        <v>18</v>
      </c>
      <c r="C494" s="10">
        <v>0.28100000000000003</v>
      </c>
      <c r="D494" s="23"/>
    </row>
    <row r="495" spans="1:4">
      <c r="A495" s="2" t="s">
        <v>24</v>
      </c>
      <c r="B495" s="5">
        <v>19</v>
      </c>
      <c r="C495" s="10">
        <v>0.19800000000000001</v>
      </c>
      <c r="D495" s="23"/>
    </row>
    <row r="496" spans="1:4">
      <c r="A496" s="2" t="s">
        <v>24</v>
      </c>
      <c r="B496" s="5">
        <v>2</v>
      </c>
      <c r="C496" s="10">
        <v>3.0000000000000001E-3</v>
      </c>
      <c r="D496" s="23"/>
    </row>
    <row r="497" spans="1:4">
      <c r="A497" s="2" t="s">
        <v>24</v>
      </c>
      <c r="B497" s="5">
        <v>20</v>
      </c>
      <c r="C497" s="10">
        <v>0.20599999999999999</v>
      </c>
      <c r="D497" s="23"/>
    </row>
    <row r="498" spans="1:4">
      <c r="A498" s="2" t="s">
        <v>24</v>
      </c>
      <c r="B498" s="5">
        <v>21</v>
      </c>
      <c r="C498" s="10">
        <v>0.20100000000000001</v>
      </c>
      <c r="D498" s="23"/>
    </row>
    <row r="499" spans="1:4">
      <c r="A499" s="2" t="s">
        <v>24</v>
      </c>
      <c r="B499" s="5">
        <v>22</v>
      </c>
      <c r="C499" s="10">
        <v>0.20200000000000001</v>
      </c>
      <c r="D499" s="23"/>
    </row>
    <row r="500" spans="1:4">
      <c r="A500" s="2" t="s">
        <v>24</v>
      </c>
      <c r="B500" s="5">
        <v>23</v>
      </c>
      <c r="C500" s="10">
        <v>0.2</v>
      </c>
      <c r="D500" s="23"/>
    </row>
    <row r="501" spans="1:4">
      <c r="A501" s="2" t="s">
        <v>24</v>
      </c>
      <c r="B501" s="5">
        <v>3</v>
      </c>
      <c r="C501" s="10">
        <v>1E-3</v>
      </c>
      <c r="D501" s="23"/>
    </row>
    <row r="502" spans="1:4">
      <c r="A502" s="2" t="s">
        <v>24</v>
      </c>
      <c r="B502" s="5">
        <v>4</v>
      </c>
      <c r="C502" s="10">
        <v>2E-3</v>
      </c>
      <c r="D502" s="23"/>
    </row>
    <row r="503" spans="1:4">
      <c r="A503" s="2" t="s">
        <v>24</v>
      </c>
      <c r="B503" s="5">
        <v>5</v>
      </c>
      <c r="C503" s="10">
        <v>2E-3</v>
      </c>
      <c r="D503" s="23"/>
    </row>
    <row r="504" spans="1:4">
      <c r="A504" s="2" t="s">
        <v>24</v>
      </c>
      <c r="B504" s="5">
        <v>6</v>
      </c>
      <c r="C504" s="10">
        <v>0.03</v>
      </c>
      <c r="D504" s="23"/>
    </row>
    <row r="505" spans="1:4">
      <c r="A505" s="2" t="s">
        <v>24</v>
      </c>
      <c r="B505" s="5">
        <v>7</v>
      </c>
      <c r="C505" s="10">
        <v>0.14599999999999999</v>
      </c>
      <c r="D505" s="23"/>
    </row>
    <row r="506" spans="1:4">
      <c r="A506" s="2" t="s">
        <v>24</v>
      </c>
      <c r="B506" s="5">
        <v>8</v>
      </c>
      <c r="C506" s="10">
        <v>0.32400000000000001</v>
      </c>
      <c r="D506" s="23"/>
    </row>
    <row r="507" spans="1:4">
      <c r="A507" s="2" t="s">
        <v>24</v>
      </c>
      <c r="B507" s="5">
        <v>9</v>
      </c>
      <c r="C507" s="10">
        <v>0.38800000000000001</v>
      </c>
      <c r="D507" s="23"/>
    </row>
    <row r="508" spans="1:4">
      <c r="A508" s="2" t="s">
        <v>25</v>
      </c>
      <c r="B508" s="5">
        <v>0</v>
      </c>
      <c r="C508" s="10">
        <v>0.20699999999999999</v>
      </c>
      <c r="D508" s="23"/>
    </row>
    <row r="509" spans="1:4">
      <c r="A509" s="2" t="s">
        <v>25</v>
      </c>
      <c r="B509" s="5">
        <v>1</v>
      </c>
      <c r="C509" s="10">
        <v>0.20699999999999999</v>
      </c>
      <c r="D509" s="23"/>
    </row>
    <row r="510" spans="1:4">
      <c r="A510" s="2" t="s">
        <v>25</v>
      </c>
      <c r="B510" s="5">
        <v>10</v>
      </c>
      <c r="C510" s="10">
        <v>0.38900000000000001</v>
      </c>
      <c r="D510" s="23"/>
    </row>
    <row r="511" spans="1:4">
      <c r="A511" s="2" t="s">
        <v>25</v>
      </c>
      <c r="B511" s="5">
        <v>11</v>
      </c>
      <c r="C511" s="10">
        <v>0.38400000000000001</v>
      </c>
      <c r="D511" s="23"/>
    </row>
    <row r="512" spans="1:4">
      <c r="A512" s="2" t="s">
        <v>25</v>
      </c>
      <c r="B512" s="5">
        <v>12</v>
      </c>
      <c r="C512" s="10">
        <v>0.39400000000000002</v>
      </c>
      <c r="D512" s="23"/>
    </row>
    <row r="513" spans="1:4">
      <c r="A513" s="2" t="s">
        <v>25</v>
      </c>
      <c r="B513" s="5">
        <v>13</v>
      </c>
      <c r="C513" s="10">
        <v>0.38400000000000001</v>
      </c>
      <c r="D513" s="23"/>
    </row>
    <row r="514" spans="1:4">
      <c r="A514" s="2" t="s">
        <v>25</v>
      </c>
      <c r="B514" s="5">
        <v>14</v>
      </c>
      <c r="C514" s="10">
        <v>0.38300000000000001</v>
      </c>
      <c r="D514" s="23"/>
    </row>
    <row r="515" spans="1:4">
      <c r="A515" s="2" t="s">
        <v>25</v>
      </c>
      <c r="B515" s="5">
        <v>15</v>
      </c>
      <c r="C515" s="10">
        <v>0.38400000000000001</v>
      </c>
      <c r="D515" s="23"/>
    </row>
    <row r="516" spans="1:4">
      <c r="A516" s="2" t="s">
        <v>25</v>
      </c>
      <c r="B516" s="5">
        <v>16</v>
      </c>
      <c r="C516" s="10">
        <v>0.38800000000000001</v>
      </c>
      <c r="D516" s="23"/>
    </row>
    <row r="517" spans="1:4">
      <c r="A517" s="2" t="s">
        <v>25</v>
      </c>
      <c r="B517" s="5">
        <v>17</v>
      </c>
      <c r="C517" s="10">
        <v>0.373</v>
      </c>
      <c r="D517" s="23"/>
    </row>
    <row r="518" spans="1:4">
      <c r="A518" s="2" t="s">
        <v>25</v>
      </c>
      <c r="B518" s="5">
        <v>18</v>
      </c>
      <c r="C518" s="10">
        <v>0.214</v>
      </c>
      <c r="D518" s="23"/>
    </row>
    <row r="519" spans="1:4">
      <c r="A519" s="2" t="s">
        <v>25</v>
      </c>
      <c r="B519" s="5">
        <v>19</v>
      </c>
      <c r="C519" s="10">
        <v>0.20300000000000001</v>
      </c>
      <c r="D519" s="23"/>
    </row>
    <row r="520" spans="1:4">
      <c r="A520" s="2" t="s">
        <v>25</v>
      </c>
      <c r="B520" s="5">
        <v>2</v>
      </c>
      <c r="C520" s="10">
        <v>0.20699999999999999</v>
      </c>
      <c r="D520" s="23"/>
    </row>
    <row r="521" spans="1:4">
      <c r="A521" s="2" t="s">
        <v>25</v>
      </c>
      <c r="B521" s="5">
        <v>20</v>
      </c>
      <c r="C521" s="10">
        <v>0.20399999999999999</v>
      </c>
      <c r="D521" s="23"/>
    </row>
    <row r="522" spans="1:4">
      <c r="A522" s="2" t="s">
        <v>25</v>
      </c>
      <c r="B522" s="5">
        <v>21</v>
      </c>
      <c r="C522" s="10">
        <v>0.20200000000000001</v>
      </c>
      <c r="D522" s="23"/>
    </row>
    <row r="523" spans="1:4">
      <c r="A523" s="2" t="s">
        <v>25</v>
      </c>
      <c r="B523" s="5">
        <v>22</v>
      </c>
      <c r="C523" s="10">
        <v>0.20200000000000001</v>
      </c>
      <c r="D523" s="23"/>
    </row>
    <row r="524" spans="1:4">
      <c r="A524" s="2" t="s">
        <v>25</v>
      </c>
      <c r="B524" s="5">
        <v>23</v>
      </c>
      <c r="C524" s="10">
        <v>0.2</v>
      </c>
      <c r="D524" s="23"/>
    </row>
    <row r="525" spans="1:4">
      <c r="A525" s="2" t="s">
        <v>25</v>
      </c>
      <c r="B525" s="5">
        <v>3</v>
      </c>
      <c r="C525" s="10">
        <v>0.20599999999999999</v>
      </c>
      <c r="D525" s="23"/>
    </row>
    <row r="526" spans="1:4">
      <c r="A526" s="2" t="s">
        <v>25</v>
      </c>
      <c r="B526" s="5">
        <v>4</v>
      </c>
      <c r="C526" s="10">
        <v>0.20300000000000001</v>
      </c>
      <c r="D526" s="23"/>
    </row>
    <row r="527" spans="1:4">
      <c r="A527" s="2" t="s">
        <v>25</v>
      </c>
      <c r="B527" s="5">
        <v>5</v>
      </c>
      <c r="C527" s="10">
        <v>0.20399999999999999</v>
      </c>
      <c r="D527" s="23"/>
    </row>
    <row r="528" spans="1:4">
      <c r="A528" s="2" t="s">
        <v>25</v>
      </c>
      <c r="B528" s="5">
        <v>6</v>
      </c>
      <c r="C528" s="10">
        <v>0.20699999999999999</v>
      </c>
      <c r="D528" s="23"/>
    </row>
    <row r="529" spans="1:4">
      <c r="A529" s="2" t="s">
        <v>25</v>
      </c>
      <c r="B529" s="5">
        <v>7</v>
      </c>
      <c r="C529" s="10">
        <v>0.26900000000000002</v>
      </c>
      <c r="D529" s="23"/>
    </row>
    <row r="530" spans="1:4">
      <c r="A530" s="2" t="s">
        <v>25</v>
      </c>
      <c r="B530" s="5">
        <v>8</v>
      </c>
      <c r="C530" s="10">
        <v>0.34499999999999997</v>
      </c>
      <c r="D530" s="23"/>
    </row>
    <row r="531" spans="1:4">
      <c r="A531" s="2" t="s">
        <v>25</v>
      </c>
      <c r="B531" s="5">
        <v>9</v>
      </c>
      <c r="C531" s="10">
        <v>0.374</v>
      </c>
      <c r="D531" s="23"/>
    </row>
    <row r="532" spans="1:4">
      <c r="A532" s="2" t="s">
        <v>26</v>
      </c>
      <c r="B532" s="5">
        <v>0</v>
      </c>
      <c r="C532" s="10">
        <v>0.20499999999999999</v>
      </c>
      <c r="D532" s="23"/>
    </row>
    <row r="533" spans="1:4">
      <c r="A533" s="2" t="s">
        <v>26</v>
      </c>
      <c r="B533" s="5">
        <v>1</v>
      </c>
      <c r="C533" s="10">
        <v>0.19800000000000001</v>
      </c>
      <c r="D533" s="23"/>
    </row>
    <row r="534" spans="1:4">
      <c r="A534" s="2" t="s">
        <v>26</v>
      </c>
      <c r="B534" s="5">
        <v>10</v>
      </c>
      <c r="C534" s="10">
        <v>0.498</v>
      </c>
      <c r="D534" s="23"/>
    </row>
    <row r="535" spans="1:4">
      <c r="A535" s="2" t="s">
        <v>26</v>
      </c>
      <c r="B535" s="5">
        <v>11</v>
      </c>
      <c r="C535" s="10">
        <v>0.48099999999999998</v>
      </c>
      <c r="D535" s="23"/>
    </row>
    <row r="536" spans="1:4">
      <c r="A536" s="2" t="s">
        <v>26</v>
      </c>
      <c r="B536" s="5">
        <v>12</v>
      </c>
      <c r="C536" s="10">
        <v>0.46600000000000003</v>
      </c>
      <c r="D536" s="23"/>
    </row>
    <row r="537" spans="1:4">
      <c r="A537" s="2" t="s">
        <v>26</v>
      </c>
      <c r="B537" s="5">
        <v>13</v>
      </c>
      <c r="C537" s="10">
        <v>0.48399999999999999</v>
      </c>
      <c r="D537" s="23"/>
    </row>
    <row r="538" spans="1:4">
      <c r="A538" s="2" t="s">
        <v>26</v>
      </c>
      <c r="B538" s="5">
        <v>14</v>
      </c>
      <c r="C538" s="10">
        <v>0.53200000000000003</v>
      </c>
      <c r="D538" s="23"/>
    </row>
    <row r="539" spans="1:4">
      <c r="A539" s="2" t="s">
        <v>26</v>
      </c>
      <c r="B539" s="5">
        <v>15</v>
      </c>
      <c r="C539" s="10">
        <v>0.38</v>
      </c>
      <c r="D539" s="23"/>
    </row>
    <row r="540" spans="1:4">
      <c r="A540" s="2" t="s">
        <v>26</v>
      </c>
      <c r="B540" s="5">
        <v>16</v>
      </c>
      <c r="C540" s="10">
        <v>0.436</v>
      </c>
      <c r="D540" s="23"/>
    </row>
    <row r="541" spans="1:4">
      <c r="A541" s="2" t="s">
        <v>26</v>
      </c>
      <c r="B541" s="5">
        <v>17</v>
      </c>
      <c r="C541" s="10">
        <v>0.436</v>
      </c>
      <c r="D541" s="23"/>
    </row>
    <row r="542" spans="1:4">
      <c r="A542" s="2" t="s">
        <v>26</v>
      </c>
      <c r="B542" s="5">
        <v>18</v>
      </c>
      <c r="C542" s="10">
        <v>0.35099999999999998</v>
      </c>
      <c r="D542" s="23"/>
    </row>
    <row r="543" spans="1:4">
      <c r="A543" s="2" t="s">
        <v>26</v>
      </c>
      <c r="B543" s="5">
        <v>19</v>
      </c>
      <c r="C543" s="10">
        <v>0.107</v>
      </c>
      <c r="D543" s="23"/>
    </row>
    <row r="544" spans="1:4">
      <c r="A544" s="2" t="s">
        <v>26</v>
      </c>
      <c r="B544" s="5">
        <v>2</v>
      </c>
      <c r="C544" s="10">
        <v>0.2</v>
      </c>
      <c r="D544" s="23"/>
    </row>
    <row r="545" spans="1:4">
      <c r="A545" s="2" t="s">
        <v>26</v>
      </c>
      <c r="B545" s="5">
        <v>20</v>
      </c>
      <c r="C545" s="10">
        <v>2E-3</v>
      </c>
      <c r="D545" s="23"/>
    </row>
    <row r="546" spans="1:4">
      <c r="A546" s="2" t="s">
        <v>26</v>
      </c>
      <c r="B546" s="5">
        <v>21</v>
      </c>
      <c r="C546" s="10">
        <v>3.0000000000000001E-3</v>
      </c>
      <c r="D546" s="23"/>
    </row>
    <row r="547" spans="1:4">
      <c r="A547" s="2" t="s">
        <v>26</v>
      </c>
      <c r="B547" s="5">
        <v>22</v>
      </c>
      <c r="C547" s="10">
        <v>1E-3</v>
      </c>
      <c r="D547" s="23"/>
    </row>
    <row r="548" spans="1:4">
      <c r="A548" s="2" t="s">
        <v>26</v>
      </c>
      <c r="B548" s="5">
        <v>23</v>
      </c>
      <c r="C548" s="10">
        <v>2E-3</v>
      </c>
      <c r="D548" s="23"/>
    </row>
    <row r="549" spans="1:4">
      <c r="A549" s="2" t="s">
        <v>26</v>
      </c>
      <c r="B549" s="5">
        <v>3</v>
      </c>
      <c r="C549" s="10">
        <v>0.20200000000000001</v>
      </c>
      <c r="D549" s="23"/>
    </row>
    <row r="550" spans="1:4">
      <c r="A550" s="2" t="s">
        <v>26</v>
      </c>
      <c r="B550" s="5">
        <v>4</v>
      </c>
      <c r="C550" s="10">
        <v>0.20200000000000001</v>
      </c>
      <c r="D550" s="23"/>
    </row>
    <row r="551" spans="1:4">
      <c r="A551" s="2" t="s">
        <v>26</v>
      </c>
      <c r="B551" s="5">
        <v>5</v>
      </c>
      <c r="C551" s="10">
        <v>0.20300000000000001</v>
      </c>
      <c r="D551" s="23"/>
    </row>
    <row r="552" spans="1:4">
      <c r="A552" s="2" t="s">
        <v>26</v>
      </c>
      <c r="B552" s="5">
        <v>6</v>
      </c>
      <c r="C552" s="10">
        <v>0.23599999999999999</v>
      </c>
      <c r="D552" s="23"/>
    </row>
    <row r="553" spans="1:4">
      <c r="A553" s="2" t="s">
        <v>26</v>
      </c>
      <c r="B553" s="5">
        <v>7</v>
      </c>
      <c r="C553" s="10">
        <v>0.252</v>
      </c>
      <c r="D553" s="23"/>
    </row>
    <row r="554" spans="1:4">
      <c r="A554" s="2" t="s">
        <v>26</v>
      </c>
      <c r="B554" s="5">
        <v>8</v>
      </c>
      <c r="C554" s="10">
        <v>0.40699999999999997</v>
      </c>
      <c r="D554" s="23"/>
    </row>
    <row r="555" spans="1:4">
      <c r="A555" s="2" t="s">
        <v>26</v>
      </c>
      <c r="B555" s="5">
        <v>9</v>
      </c>
      <c r="C555" s="10">
        <v>0.43</v>
      </c>
      <c r="D555" s="23"/>
    </row>
    <row r="556" spans="1:4">
      <c r="A556" s="2" t="s">
        <v>27</v>
      </c>
      <c r="B556" s="5">
        <v>0</v>
      </c>
      <c r="C556" s="10">
        <v>2E-3</v>
      </c>
      <c r="D556" s="23"/>
    </row>
    <row r="557" spans="1:4">
      <c r="A557" s="2" t="s">
        <v>27</v>
      </c>
      <c r="B557" s="5">
        <v>1</v>
      </c>
      <c r="C557" s="10">
        <v>1E-3</v>
      </c>
      <c r="D557" s="23"/>
    </row>
    <row r="558" spans="1:4">
      <c r="A558" s="2" t="s">
        <v>27</v>
      </c>
      <c r="B558" s="5">
        <v>10</v>
      </c>
      <c r="C558" s="10">
        <v>0.33200000000000002</v>
      </c>
      <c r="D558" s="23"/>
    </row>
    <row r="559" spans="1:4">
      <c r="A559" s="2" t="s">
        <v>27</v>
      </c>
      <c r="B559" s="5">
        <v>11</v>
      </c>
      <c r="C559" s="10">
        <v>0.28199999999999997</v>
      </c>
      <c r="D559" s="23"/>
    </row>
    <row r="560" spans="1:4">
      <c r="A560" s="2" t="s">
        <v>27</v>
      </c>
      <c r="B560" s="5">
        <v>12</v>
      </c>
      <c r="C560" s="10">
        <v>0.23100000000000001</v>
      </c>
      <c r="D560" s="23"/>
    </row>
    <row r="561" spans="1:4">
      <c r="A561" s="2" t="s">
        <v>27</v>
      </c>
      <c r="B561" s="5">
        <v>13</v>
      </c>
      <c r="C561" s="10">
        <v>0.23400000000000001</v>
      </c>
      <c r="D561" s="23"/>
    </row>
    <row r="562" spans="1:4">
      <c r="A562" s="2" t="s">
        <v>27</v>
      </c>
      <c r="B562" s="5">
        <v>14</v>
      </c>
      <c r="C562" s="10">
        <v>0.29199999999999998</v>
      </c>
      <c r="D562" s="23"/>
    </row>
    <row r="563" spans="1:4">
      <c r="A563" s="2" t="s">
        <v>27</v>
      </c>
      <c r="B563" s="5">
        <v>15</v>
      </c>
      <c r="C563" s="10">
        <v>0.28599999999999998</v>
      </c>
      <c r="D563" s="23"/>
    </row>
    <row r="564" spans="1:4">
      <c r="A564" s="2" t="s">
        <v>27</v>
      </c>
      <c r="B564" s="5">
        <v>16</v>
      </c>
      <c r="C564" s="10">
        <v>0.20799999999999999</v>
      </c>
      <c r="D564" s="23"/>
    </row>
    <row r="565" spans="1:4">
      <c r="A565" s="2" t="s">
        <v>27</v>
      </c>
      <c r="B565" s="5">
        <v>17</v>
      </c>
      <c r="C565" s="10">
        <v>0.20100000000000001</v>
      </c>
      <c r="D565" s="23"/>
    </row>
    <row r="566" spans="1:4">
      <c r="A566" s="2" t="s">
        <v>27</v>
      </c>
      <c r="B566" s="5">
        <v>18</v>
      </c>
      <c r="C566" s="10">
        <v>0.17799999999999999</v>
      </c>
      <c r="D566" s="23"/>
    </row>
    <row r="567" spans="1:4">
      <c r="A567" s="2" t="s">
        <v>27</v>
      </c>
      <c r="B567" s="5">
        <v>19</v>
      </c>
      <c r="C567" s="10">
        <v>9.2999999999999999E-2</v>
      </c>
      <c r="D567" s="23"/>
    </row>
    <row r="568" spans="1:4">
      <c r="A568" s="2" t="s">
        <v>27</v>
      </c>
      <c r="B568" s="5">
        <v>2</v>
      </c>
      <c r="C568" s="10">
        <v>1E-3</v>
      </c>
      <c r="D568" s="23"/>
    </row>
    <row r="569" spans="1:4">
      <c r="A569" s="2" t="s">
        <v>27</v>
      </c>
      <c r="B569" s="5">
        <v>20</v>
      </c>
      <c r="C569" s="10">
        <v>0.157</v>
      </c>
      <c r="D569" s="23"/>
    </row>
    <row r="570" spans="1:4">
      <c r="A570" s="2" t="s">
        <v>27</v>
      </c>
      <c r="B570" s="5">
        <v>21</v>
      </c>
      <c r="C570" s="10">
        <v>0.17699999999999999</v>
      </c>
      <c r="D570" s="23"/>
    </row>
    <row r="571" spans="1:4">
      <c r="A571" s="2" t="s">
        <v>27</v>
      </c>
      <c r="B571" s="5">
        <v>22</v>
      </c>
      <c r="C571" s="10">
        <v>0.17699999999999999</v>
      </c>
      <c r="D571" s="23"/>
    </row>
    <row r="572" spans="1:4">
      <c r="A572" s="2" t="s">
        <v>27</v>
      </c>
      <c r="B572" s="5">
        <v>23</v>
      </c>
      <c r="C572" s="10">
        <v>0.17499999999999999</v>
      </c>
      <c r="D572" s="23"/>
    </row>
    <row r="573" spans="1:4">
      <c r="A573" s="2" t="s">
        <v>27</v>
      </c>
      <c r="B573" s="5">
        <v>3</v>
      </c>
      <c r="C573" s="10">
        <v>2E-3</v>
      </c>
      <c r="D573" s="23"/>
    </row>
    <row r="574" spans="1:4">
      <c r="A574" s="2" t="s">
        <v>27</v>
      </c>
      <c r="B574" s="5">
        <v>4</v>
      </c>
      <c r="C574" s="10">
        <v>4.0000000000000001E-3</v>
      </c>
      <c r="D574" s="23"/>
    </row>
    <row r="575" spans="1:4">
      <c r="A575" s="2" t="s">
        <v>27</v>
      </c>
      <c r="B575" s="5">
        <v>5</v>
      </c>
      <c r="C575" s="10">
        <v>4.0000000000000001E-3</v>
      </c>
      <c r="D575" s="23"/>
    </row>
    <row r="576" spans="1:4">
      <c r="A576" s="2" t="s">
        <v>27</v>
      </c>
      <c r="B576" s="5">
        <v>6</v>
      </c>
      <c r="C576" s="10">
        <v>2E-3</v>
      </c>
      <c r="D576" s="23"/>
    </row>
    <row r="577" spans="1:4">
      <c r="A577" s="2" t="s">
        <v>27</v>
      </c>
      <c r="B577" s="5">
        <v>7</v>
      </c>
      <c r="C577" s="10">
        <v>7.5999999999999998E-2</v>
      </c>
      <c r="D577" s="23"/>
    </row>
    <row r="578" spans="1:4">
      <c r="A578" s="2" t="s">
        <v>27</v>
      </c>
      <c r="B578" s="5">
        <v>8</v>
      </c>
      <c r="C578" s="10">
        <v>0.20399999999999999</v>
      </c>
      <c r="D578" s="23"/>
    </row>
    <row r="579" spans="1:4">
      <c r="A579" s="2" t="s">
        <v>27</v>
      </c>
      <c r="B579" s="5">
        <v>9</v>
      </c>
      <c r="C579" s="10">
        <v>0.32400000000000001</v>
      </c>
      <c r="D579" s="23"/>
    </row>
    <row r="580" spans="1:4">
      <c r="A580" s="2" t="s">
        <v>28</v>
      </c>
      <c r="B580" s="5">
        <v>0</v>
      </c>
      <c r="C580" s="10">
        <v>0.17799999999999999</v>
      </c>
      <c r="D580" s="23"/>
    </row>
    <row r="581" spans="1:4">
      <c r="A581" s="2" t="s">
        <v>28</v>
      </c>
      <c r="B581" s="5">
        <v>1</v>
      </c>
      <c r="C581" s="10">
        <v>0.17799999999999999</v>
      </c>
      <c r="D581" s="23"/>
    </row>
    <row r="582" spans="1:4">
      <c r="A582" s="2" t="s">
        <v>28</v>
      </c>
      <c r="B582" s="5">
        <v>10</v>
      </c>
      <c r="C582" s="10">
        <v>0.46500000000000002</v>
      </c>
      <c r="D582" s="23"/>
    </row>
    <row r="583" spans="1:4">
      <c r="A583" s="2" t="s">
        <v>28</v>
      </c>
      <c r="B583" s="5">
        <v>11</v>
      </c>
      <c r="C583" s="10">
        <v>0.436</v>
      </c>
      <c r="D583" s="23"/>
    </row>
    <row r="584" spans="1:4">
      <c r="A584" s="2" t="s">
        <v>28</v>
      </c>
      <c r="B584" s="5">
        <v>12</v>
      </c>
      <c r="C584" s="10">
        <v>0.43099999999999999</v>
      </c>
      <c r="D584" s="23"/>
    </row>
    <row r="585" spans="1:4">
      <c r="A585" s="2" t="s">
        <v>28</v>
      </c>
      <c r="B585" s="5">
        <v>13</v>
      </c>
      <c r="C585" s="10">
        <v>0.434</v>
      </c>
      <c r="D585" s="23"/>
    </row>
    <row r="586" spans="1:4">
      <c r="A586" s="2" t="s">
        <v>28</v>
      </c>
      <c r="B586" s="5">
        <v>14</v>
      </c>
      <c r="C586" s="10">
        <v>0.46700000000000003</v>
      </c>
      <c r="D586" s="23"/>
    </row>
    <row r="587" spans="1:4">
      <c r="A587" s="2" t="s">
        <v>28</v>
      </c>
      <c r="B587" s="5">
        <v>15</v>
      </c>
      <c r="C587" s="10">
        <v>0.47299999999999998</v>
      </c>
      <c r="D587" s="23"/>
    </row>
    <row r="588" spans="1:4">
      <c r="A588" s="2" t="s">
        <v>28</v>
      </c>
      <c r="B588" s="5">
        <v>16</v>
      </c>
      <c r="C588" s="10">
        <v>0.44900000000000001</v>
      </c>
      <c r="D588" s="23"/>
    </row>
    <row r="589" spans="1:4">
      <c r="A589" s="2" t="s">
        <v>28</v>
      </c>
      <c r="B589" s="5">
        <v>17</v>
      </c>
      <c r="C589" s="10">
        <v>0.44500000000000001</v>
      </c>
      <c r="D589" s="23"/>
    </row>
    <row r="590" spans="1:4">
      <c r="A590" s="2" t="s">
        <v>28</v>
      </c>
      <c r="B590" s="5">
        <v>18</v>
      </c>
      <c r="C590" s="10">
        <v>0.35699999999999998</v>
      </c>
      <c r="D590" s="23"/>
    </row>
    <row r="591" spans="1:4">
      <c r="A591" s="2" t="s">
        <v>28</v>
      </c>
      <c r="B591" s="5">
        <v>19</v>
      </c>
      <c r="C591" s="10">
        <v>0.186</v>
      </c>
      <c r="D591" s="23"/>
    </row>
    <row r="592" spans="1:4">
      <c r="A592" s="2" t="s">
        <v>28</v>
      </c>
      <c r="B592" s="5">
        <v>2</v>
      </c>
      <c r="C592" s="10">
        <v>0.17399999999999999</v>
      </c>
      <c r="D592" s="23"/>
    </row>
    <row r="593" spans="1:4">
      <c r="A593" s="2" t="s">
        <v>28</v>
      </c>
      <c r="B593" s="5">
        <v>20</v>
      </c>
      <c r="C593" s="10">
        <v>0.17499999999999999</v>
      </c>
      <c r="D593" s="23"/>
    </row>
    <row r="594" spans="1:4">
      <c r="A594" s="2" t="s">
        <v>28</v>
      </c>
      <c r="B594" s="5">
        <v>21</v>
      </c>
      <c r="C594" s="10">
        <v>0.17599999999999999</v>
      </c>
      <c r="D594" s="23"/>
    </row>
    <row r="595" spans="1:4">
      <c r="A595" s="2" t="s">
        <v>28</v>
      </c>
      <c r="B595" s="5">
        <v>22</v>
      </c>
      <c r="C595" s="10">
        <v>0.17199999999999999</v>
      </c>
      <c r="D595" s="23"/>
    </row>
    <row r="596" spans="1:4">
      <c r="A596" s="2" t="s">
        <v>28</v>
      </c>
      <c r="B596" s="5">
        <v>23</v>
      </c>
      <c r="C596" s="10">
        <v>0.17699999999999999</v>
      </c>
      <c r="D596" s="23"/>
    </row>
    <row r="597" spans="1:4">
      <c r="A597" s="2" t="s">
        <v>28</v>
      </c>
      <c r="B597" s="5">
        <v>3</v>
      </c>
      <c r="C597" s="10">
        <v>0.17699999999999999</v>
      </c>
      <c r="D597" s="23"/>
    </row>
    <row r="598" spans="1:4">
      <c r="A598" s="2" t="s">
        <v>28</v>
      </c>
      <c r="B598" s="5">
        <v>4</v>
      </c>
      <c r="C598" s="10">
        <v>0.17599999999999999</v>
      </c>
      <c r="D598" s="23"/>
    </row>
    <row r="599" spans="1:4">
      <c r="A599" s="2" t="s">
        <v>28</v>
      </c>
      <c r="B599" s="5">
        <v>5</v>
      </c>
      <c r="C599" s="10">
        <v>0.17699999999999999</v>
      </c>
      <c r="D599" s="23"/>
    </row>
    <row r="600" spans="1:4">
      <c r="A600" s="2" t="s">
        <v>28</v>
      </c>
      <c r="B600" s="5">
        <v>6</v>
      </c>
      <c r="C600" s="10">
        <v>0.18</v>
      </c>
      <c r="D600" s="23"/>
    </row>
    <row r="601" spans="1:4">
      <c r="A601" s="2" t="s">
        <v>28</v>
      </c>
      <c r="B601" s="5">
        <v>7</v>
      </c>
      <c r="C601" s="10">
        <v>0.248</v>
      </c>
      <c r="D601" s="23"/>
    </row>
    <row r="602" spans="1:4">
      <c r="A602" s="2" t="s">
        <v>28</v>
      </c>
      <c r="B602" s="5">
        <v>8</v>
      </c>
      <c r="C602" s="10">
        <v>0.36699999999999999</v>
      </c>
      <c r="D602" s="23"/>
    </row>
    <row r="603" spans="1:4">
      <c r="A603" s="2" t="s">
        <v>28</v>
      </c>
      <c r="B603" s="5">
        <v>9</v>
      </c>
      <c r="C603" s="10">
        <v>0.48199999999999998</v>
      </c>
      <c r="D603" s="23"/>
    </row>
    <row r="604" spans="1:4">
      <c r="A604" s="2" t="s">
        <v>29</v>
      </c>
      <c r="B604" s="5">
        <v>0</v>
      </c>
      <c r="C604" s="10">
        <v>0.17399999999999999</v>
      </c>
      <c r="D604" s="23"/>
    </row>
    <row r="605" spans="1:4">
      <c r="A605" s="2" t="s">
        <v>29</v>
      </c>
      <c r="B605" s="5">
        <v>1</v>
      </c>
      <c r="C605" s="10">
        <v>0.17599999999999999</v>
      </c>
      <c r="D605" s="23"/>
    </row>
    <row r="606" spans="1:4">
      <c r="A606" s="2" t="s">
        <v>29</v>
      </c>
      <c r="B606" s="5">
        <v>10</v>
      </c>
      <c r="C606" s="10">
        <v>0.14599999999999999</v>
      </c>
      <c r="D606" s="23"/>
    </row>
    <row r="607" spans="1:4">
      <c r="A607" s="2" t="s">
        <v>29</v>
      </c>
      <c r="B607" s="5">
        <v>11</v>
      </c>
      <c r="C607" s="10">
        <v>0.154</v>
      </c>
      <c r="D607" s="23"/>
    </row>
    <row r="608" spans="1:4">
      <c r="A608" s="2" t="s">
        <v>29</v>
      </c>
      <c r="B608" s="5">
        <v>12</v>
      </c>
      <c r="C608" s="10">
        <v>0.16</v>
      </c>
      <c r="D608" s="23"/>
    </row>
    <row r="609" spans="1:4">
      <c r="A609" s="2" t="s">
        <v>29</v>
      </c>
      <c r="B609" s="5">
        <v>13</v>
      </c>
      <c r="C609" s="10">
        <v>0.247</v>
      </c>
      <c r="D609" s="23"/>
    </row>
    <row r="610" spans="1:4">
      <c r="A610" s="2" t="s">
        <v>29</v>
      </c>
      <c r="B610" s="5">
        <v>14</v>
      </c>
      <c r="C610" s="10">
        <v>0.26900000000000002</v>
      </c>
      <c r="D610" s="23"/>
    </row>
    <row r="611" spans="1:4">
      <c r="A611" s="2" t="s">
        <v>29</v>
      </c>
      <c r="B611" s="5">
        <v>15</v>
      </c>
      <c r="C611" s="10">
        <v>0.28199999999999997</v>
      </c>
      <c r="D611" s="23"/>
    </row>
    <row r="612" spans="1:4">
      <c r="A612" s="2" t="s">
        <v>29</v>
      </c>
      <c r="B612" s="5">
        <v>16</v>
      </c>
      <c r="C612" s="10">
        <v>0.22600000000000001</v>
      </c>
      <c r="D612" s="23"/>
    </row>
    <row r="613" spans="1:4">
      <c r="A613" s="2" t="s">
        <v>29</v>
      </c>
      <c r="B613" s="5">
        <v>17</v>
      </c>
      <c r="C613" s="10">
        <v>7.3999999999999996E-2</v>
      </c>
      <c r="D613" s="23"/>
    </row>
    <row r="614" spans="1:4">
      <c r="A614" s="2" t="s">
        <v>29</v>
      </c>
      <c r="B614" s="5">
        <v>18</v>
      </c>
      <c r="C614" s="10">
        <v>3.5000000000000003E-2</v>
      </c>
      <c r="D614" s="23"/>
    </row>
    <row r="615" spans="1:4">
      <c r="A615" s="2" t="s">
        <v>29</v>
      </c>
      <c r="B615" s="5">
        <v>19</v>
      </c>
      <c r="C615" s="10">
        <v>6.0000000000000001E-3</v>
      </c>
      <c r="D615" s="23"/>
    </row>
    <row r="616" spans="1:4">
      <c r="A616" s="2" t="s">
        <v>29</v>
      </c>
      <c r="B616" s="5">
        <v>2</v>
      </c>
      <c r="C616" s="10">
        <v>0.17299999999999999</v>
      </c>
      <c r="D616" s="23"/>
    </row>
    <row r="617" spans="1:4">
      <c r="A617" s="2" t="s">
        <v>29</v>
      </c>
      <c r="B617" s="5">
        <v>20</v>
      </c>
      <c r="C617" s="10">
        <v>3.0000000000000001E-3</v>
      </c>
      <c r="D617" s="23"/>
    </row>
    <row r="618" spans="1:4">
      <c r="A618" s="2" t="s">
        <v>29</v>
      </c>
      <c r="B618" s="5">
        <v>21</v>
      </c>
      <c r="C618" s="10">
        <v>1E-3</v>
      </c>
      <c r="D618" s="23"/>
    </row>
    <row r="619" spans="1:4">
      <c r="A619" s="2" t="s">
        <v>29</v>
      </c>
      <c r="B619" s="5">
        <v>22</v>
      </c>
      <c r="C619" s="10">
        <v>2E-3</v>
      </c>
      <c r="D619" s="23"/>
    </row>
    <row r="620" spans="1:4">
      <c r="A620" s="2" t="s">
        <v>29</v>
      </c>
      <c r="B620" s="5">
        <v>23</v>
      </c>
      <c r="C620" s="10">
        <v>2E-3</v>
      </c>
      <c r="D620" s="23"/>
    </row>
    <row r="621" spans="1:4">
      <c r="A621" s="2" t="s">
        <v>29</v>
      </c>
      <c r="B621" s="5">
        <v>3</v>
      </c>
      <c r="C621" s="10">
        <v>0.17699999999999999</v>
      </c>
      <c r="D621" s="23"/>
    </row>
    <row r="622" spans="1:4">
      <c r="A622" s="2" t="s">
        <v>29</v>
      </c>
      <c r="B622" s="5">
        <v>4</v>
      </c>
      <c r="C622" s="10">
        <v>0.17399999999999999</v>
      </c>
      <c r="D622" s="23"/>
    </row>
    <row r="623" spans="1:4">
      <c r="A623" s="2" t="s">
        <v>29</v>
      </c>
      <c r="B623" s="5">
        <v>5</v>
      </c>
      <c r="C623" s="10">
        <v>0.17299999999999999</v>
      </c>
      <c r="D623" s="23"/>
    </row>
    <row r="624" spans="1:4">
      <c r="A624" s="2" t="s">
        <v>29</v>
      </c>
      <c r="B624" s="5">
        <v>6</v>
      </c>
      <c r="C624" s="10">
        <v>0.17599999999999999</v>
      </c>
      <c r="D624" s="23"/>
    </row>
    <row r="625" spans="1:4">
      <c r="A625" s="2" t="s">
        <v>29</v>
      </c>
      <c r="B625" s="5">
        <v>7</v>
      </c>
      <c r="C625" s="10">
        <v>9.4E-2</v>
      </c>
      <c r="D625" s="23"/>
    </row>
    <row r="626" spans="1:4">
      <c r="A626" s="2" t="s">
        <v>29</v>
      </c>
      <c r="B626" s="5">
        <v>8</v>
      </c>
      <c r="C626" s="10">
        <v>0.1</v>
      </c>
      <c r="D626" s="23"/>
    </row>
    <row r="627" spans="1:4">
      <c r="A627" s="2" t="s">
        <v>29</v>
      </c>
      <c r="B627" s="5">
        <v>9</v>
      </c>
      <c r="C627" s="10">
        <v>0.123</v>
      </c>
      <c r="D627" s="23"/>
    </row>
    <row r="628" spans="1:4">
      <c r="A628" s="2" t="s">
        <v>30</v>
      </c>
      <c r="B628" s="5">
        <v>0</v>
      </c>
      <c r="C628" s="10">
        <v>2E-3</v>
      </c>
      <c r="D628" s="23"/>
    </row>
    <row r="629" spans="1:4">
      <c r="A629" s="2" t="s">
        <v>30</v>
      </c>
      <c r="B629" s="5">
        <v>1</v>
      </c>
      <c r="C629" s="10">
        <v>2E-3</v>
      </c>
      <c r="D629" s="23"/>
    </row>
    <row r="630" spans="1:4">
      <c r="A630" s="2" t="s">
        <v>30</v>
      </c>
      <c r="B630" s="5">
        <v>10</v>
      </c>
      <c r="C630" s="10">
        <v>0.46</v>
      </c>
      <c r="D630" s="23"/>
    </row>
    <row r="631" spans="1:4">
      <c r="A631" s="2" t="s">
        <v>30</v>
      </c>
      <c r="B631" s="5">
        <v>11</v>
      </c>
      <c r="C631" s="10">
        <v>0.42299999999999999</v>
      </c>
      <c r="D631" s="23"/>
    </row>
    <row r="632" spans="1:4">
      <c r="A632" s="2" t="s">
        <v>30</v>
      </c>
      <c r="B632" s="5">
        <v>12</v>
      </c>
      <c r="C632" s="10">
        <v>0.39300000000000002</v>
      </c>
      <c r="D632" s="23"/>
    </row>
    <row r="633" spans="1:4">
      <c r="A633" s="2" t="s">
        <v>30</v>
      </c>
      <c r="B633" s="5">
        <v>13</v>
      </c>
      <c r="C633" s="10">
        <v>0.437</v>
      </c>
      <c r="D633" s="23"/>
    </row>
    <row r="634" spans="1:4">
      <c r="A634" s="2" t="s">
        <v>30</v>
      </c>
      <c r="B634" s="5">
        <v>14</v>
      </c>
      <c r="C634" s="10">
        <v>0.27600000000000002</v>
      </c>
      <c r="D634" s="23"/>
    </row>
    <row r="635" spans="1:4">
      <c r="A635" s="2" t="s">
        <v>30</v>
      </c>
      <c r="B635" s="5">
        <v>15</v>
      </c>
      <c r="C635" s="10">
        <v>0.27900000000000003</v>
      </c>
      <c r="D635" s="23"/>
    </row>
    <row r="636" spans="1:4">
      <c r="A636" s="2" t="s">
        <v>30</v>
      </c>
      <c r="B636" s="5">
        <v>16</v>
      </c>
      <c r="C636" s="10">
        <v>0.22500000000000001</v>
      </c>
      <c r="D636" s="23"/>
    </row>
    <row r="637" spans="1:4">
      <c r="A637" s="2" t="s">
        <v>30</v>
      </c>
      <c r="B637" s="5">
        <v>17</v>
      </c>
      <c r="C637" s="10">
        <v>0.20300000000000001</v>
      </c>
      <c r="D637" s="23"/>
    </row>
    <row r="638" spans="1:4">
      <c r="A638" s="2" t="s">
        <v>30</v>
      </c>
      <c r="B638" s="5">
        <v>18</v>
      </c>
      <c r="C638" s="10">
        <v>0.108</v>
      </c>
      <c r="D638" s="23"/>
    </row>
    <row r="639" spans="1:4">
      <c r="A639" s="2" t="s">
        <v>30</v>
      </c>
      <c r="B639" s="5">
        <v>19</v>
      </c>
      <c r="C639" s="10">
        <v>6.0000000000000001E-3</v>
      </c>
      <c r="D639" s="23"/>
    </row>
    <row r="640" spans="1:4">
      <c r="A640" s="2" t="s">
        <v>30</v>
      </c>
      <c r="B640" s="5">
        <v>2</v>
      </c>
      <c r="C640" s="10">
        <v>2E-3</v>
      </c>
      <c r="D640" s="23"/>
    </row>
    <row r="641" spans="1:4">
      <c r="A641" s="2" t="s">
        <v>30</v>
      </c>
      <c r="B641" s="5">
        <v>20</v>
      </c>
      <c r="C641" s="10">
        <v>2E-3</v>
      </c>
      <c r="D641" s="23"/>
    </row>
    <row r="642" spans="1:4">
      <c r="A642" s="2" t="s">
        <v>30</v>
      </c>
      <c r="B642" s="5">
        <v>21</v>
      </c>
      <c r="C642" s="10">
        <v>2E-3</v>
      </c>
      <c r="D642" s="23"/>
    </row>
    <row r="643" spans="1:4">
      <c r="A643" s="2" t="s">
        <v>30</v>
      </c>
      <c r="B643" s="5">
        <v>22</v>
      </c>
      <c r="C643" s="10">
        <v>1E-3</v>
      </c>
      <c r="D643" s="23"/>
    </row>
    <row r="644" spans="1:4">
      <c r="A644" s="2" t="s">
        <v>30</v>
      </c>
      <c r="B644" s="5">
        <v>23</v>
      </c>
      <c r="C644" s="10">
        <v>2E-3</v>
      </c>
      <c r="D644" s="23"/>
    </row>
    <row r="645" spans="1:4">
      <c r="A645" s="2" t="s">
        <v>30</v>
      </c>
      <c r="B645" s="5">
        <v>3</v>
      </c>
      <c r="C645" s="10">
        <v>2E-3</v>
      </c>
      <c r="D645" s="23"/>
    </row>
    <row r="646" spans="1:4">
      <c r="A646" s="2" t="s">
        <v>30</v>
      </c>
      <c r="B646" s="5">
        <v>4</v>
      </c>
      <c r="C646" s="10">
        <v>1E-3</v>
      </c>
      <c r="D646" s="23"/>
    </row>
    <row r="647" spans="1:4">
      <c r="A647" s="2" t="s">
        <v>30</v>
      </c>
      <c r="B647" s="5">
        <v>5</v>
      </c>
      <c r="C647" s="10">
        <v>2E-3</v>
      </c>
      <c r="D647" s="23"/>
    </row>
    <row r="648" spans="1:4">
      <c r="A648" s="2" t="s">
        <v>30</v>
      </c>
      <c r="B648" s="5">
        <v>6</v>
      </c>
      <c r="C648" s="10">
        <v>2E-3</v>
      </c>
      <c r="D648" s="23"/>
    </row>
    <row r="649" spans="1:4">
      <c r="A649" s="2" t="s">
        <v>30</v>
      </c>
      <c r="B649" s="5">
        <v>7</v>
      </c>
      <c r="C649" s="10">
        <v>0.1</v>
      </c>
      <c r="D649" s="23"/>
    </row>
    <row r="650" spans="1:4">
      <c r="A650" s="2" t="s">
        <v>30</v>
      </c>
      <c r="B650" s="5">
        <v>8</v>
      </c>
      <c r="C650" s="10">
        <v>0.152</v>
      </c>
      <c r="D650" s="23"/>
    </row>
    <row r="651" spans="1:4">
      <c r="A651" s="2" t="s">
        <v>30</v>
      </c>
      <c r="B651" s="5">
        <v>9</v>
      </c>
      <c r="C651" s="10">
        <v>0.30299999999999999</v>
      </c>
      <c r="D651" s="23"/>
    </row>
    <row r="652" spans="1:4">
      <c r="A652" s="2" t="s">
        <v>31</v>
      </c>
      <c r="B652" s="5">
        <v>0</v>
      </c>
      <c r="C652" s="10">
        <v>3.0000000000000001E-3</v>
      </c>
      <c r="D652" s="23"/>
    </row>
    <row r="653" spans="1:4">
      <c r="A653" s="2" t="s">
        <v>31</v>
      </c>
      <c r="B653" s="5">
        <v>1</v>
      </c>
      <c r="C653" s="10">
        <v>1E-3</v>
      </c>
      <c r="D653" s="23"/>
    </row>
    <row r="654" spans="1:4">
      <c r="A654" s="2" t="s">
        <v>31</v>
      </c>
      <c r="B654" s="5">
        <v>10</v>
      </c>
      <c r="C654" s="10">
        <v>0.251</v>
      </c>
      <c r="D654" s="23"/>
    </row>
    <row r="655" spans="1:4">
      <c r="A655" s="2" t="s">
        <v>31</v>
      </c>
      <c r="B655" s="5">
        <v>11</v>
      </c>
      <c r="C655" s="10">
        <v>0.28000000000000003</v>
      </c>
      <c r="D655" s="23"/>
    </row>
    <row r="656" spans="1:4">
      <c r="A656" s="2" t="s">
        <v>31</v>
      </c>
      <c r="B656" s="5">
        <v>12</v>
      </c>
      <c r="C656" s="10">
        <v>0.34599999999999997</v>
      </c>
      <c r="D656" s="23"/>
    </row>
    <row r="657" spans="1:4">
      <c r="A657" s="2" t="s">
        <v>31</v>
      </c>
      <c r="B657" s="5">
        <v>13</v>
      </c>
      <c r="C657" s="10">
        <v>0.34899999999999998</v>
      </c>
      <c r="D657" s="23"/>
    </row>
    <row r="658" spans="1:4">
      <c r="A658" s="2" t="s">
        <v>31</v>
      </c>
      <c r="B658" s="5">
        <v>14</v>
      </c>
      <c r="C658" s="10">
        <v>0.379</v>
      </c>
      <c r="D658" s="23"/>
    </row>
    <row r="659" spans="1:4">
      <c r="A659" s="2" t="s">
        <v>31</v>
      </c>
      <c r="B659" s="5">
        <v>15</v>
      </c>
      <c r="C659" s="10">
        <v>0.38800000000000001</v>
      </c>
      <c r="D659" s="23"/>
    </row>
    <row r="660" spans="1:4">
      <c r="A660" s="2" t="s">
        <v>31</v>
      </c>
      <c r="B660" s="5">
        <v>16</v>
      </c>
      <c r="C660" s="10">
        <v>0.39500000000000002</v>
      </c>
      <c r="D660" s="23"/>
    </row>
    <row r="661" spans="1:4">
      <c r="A661" s="2" t="s">
        <v>31</v>
      </c>
      <c r="B661" s="5">
        <v>17</v>
      </c>
      <c r="C661" s="10">
        <v>0.36799999999999999</v>
      </c>
      <c r="D661" s="23"/>
    </row>
    <row r="662" spans="1:4">
      <c r="A662" s="2" t="s">
        <v>31</v>
      </c>
      <c r="B662" s="5">
        <v>18</v>
      </c>
      <c r="C662" s="10">
        <v>8.8999999999999996E-2</v>
      </c>
      <c r="D662" s="23"/>
    </row>
    <row r="663" spans="1:4">
      <c r="A663" s="2" t="s">
        <v>31</v>
      </c>
      <c r="B663" s="5">
        <v>19</v>
      </c>
      <c r="C663" s="10">
        <v>8.0000000000000002E-3</v>
      </c>
      <c r="D663" s="23"/>
    </row>
    <row r="664" spans="1:4">
      <c r="A664" s="2" t="s">
        <v>31</v>
      </c>
      <c r="B664" s="5">
        <v>2</v>
      </c>
      <c r="C664" s="10">
        <v>1E-3</v>
      </c>
      <c r="D664" s="23"/>
    </row>
    <row r="665" spans="1:4">
      <c r="A665" s="2" t="s">
        <v>31</v>
      </c>
      <c r="B665" s="5">
        <v>20</v>
      </c>
      <c r="C665" s="10">
        <v>2E-3</v>
      </c>
      <c r="D665" s="23"/>
    </row>
    <row r="666" spans="1:4">
      <c r="A666" s="2" t="s">
        <v>31</v>
      </c>
      <c r="B666" s="5">
        <v>21</v>
      </c>
      <c r="C666" s="10">
        <v>3.0000000000000001E-3</v>
      </c>
      <c r="D666" s="23"/>
    </row>
    <row r="667" spans="1:4">
      <c r="A667" s="2" t="s">
        <v>31</v>
      </c>
      <c r="B667" s="5">
        <v>22</v>
      </c>
      <c r="C667" s="10">
        <v>1E-3</v>
      </c>
      <c r="D667" s="23"/>
    </row>
    <row r="668" spans="1:4">
      <c r="A668" s="2" t="s">
        <v>31</v>
      </c>
      <c r="B668" s="5">
        <v>23</v>
      </c>
      <c r="C668" s="10">
        <v>1E-3</v>
      </c>
      <c r="D668" s="23"/>
    </row>
    <row r="669" spans="1:4">
      <c r="A669" s="2" t="s">
        <v>31</v>
      </c>
      <c r="B669" s="5">
        <v>3</v>
      </c>
      <c r="C669" s="10">
        <v>2E-3</v>
      </c>
      <c r="D669" s="23"/>
    </row>
    <row r="670" spans="1:4">
      <c r="A670" s="2" t="s">
        <v>31</v>
      </c>
      <c r="B670" s="5">
        <v>4</v>
      </c>
      <c r="C670" s="10">
        <v>1E-3</v>
      </c>
      <c r="D670" s="23"/>
    </row>
    <row r="671" spans="1:4">
      <c r="A671" s="2" t="s">
        <v>31</v>
      </c>
      <c r="B671" s="5">
        <v>5</v>
      </c>
      <c r="C671" s="10">
        <v>2E-3</v>
      </c>
      <c r="D671" s="23"/>
    </row>
    <row r="672" spans="1:4">
      <c r="A672" s="2" t="s">
        <v>31</v>
      </c>
      <c r="B672" s="5">
        <v>6</v>
      </c>
      <c r="C672" s="10">
        <v>2E-3</v>
      </c>
      <c r="D672" s="23"/>
    </row>
    <row r="673" spans="1:4">
      <c r="A673" s="2" t="s">
        <v>31</v>
      </c>
      <c r="B673" s="5">
        <v>7</v>
      </c>
      <c r="C673" s="10">
        <v>5.8999999999999997E-2</v>
      </c>
      <c r="D673" s="23"/>
    </row>
    <row r="674" spans="1:4">
      <c r="A674" s="2" t="s">
        <v>31</v>
      </c>
      <c r="B674" s="5">
        <v>8</v>
      </c>
      <c r="C674" s="10">
        <v>0.115</v>
      </c>
      <c r="D674" s="23"/>
    </row>
    <row r="675" spans="1:4">
      <c r="A675" s="2" t="s">
        <v>31</v>
      </c>
      <c r="B675" s="5">
        <v>9</v>
      </c>
      <c r="C675" s="10">
        <v>0.23300000000000001</v>
      </c>
      <c r="D675" s="23"/>
    </row>
    <row r="676" spans="1:4">
      <c r="A676" s="2" t="s">
        <v>32</v>
      </c>
      <c r="B676" s="5">
        <v>0</v>
      </c>
      <c r="C676" s="10">
        <v>2E-3</v>
      </c>
      <c r="D676" s="23"/>
    </row>
    <row r="677" spans="1:4">
      <c r="A677" s="2" t="s">
        <v>32</v>
      </c>
      <c r="B677" s="5">
        <v>1</v>
      </c>
      <c r="C677" s="10">
        <v>1E-3</v>
      </c>
      <c r="D677" s="23"/>
    </row>
    <row r="678" spans="1:4">
      <c r="A678" s="2" t="s">
        <v>32</v>
      </c>
      <c r="B678" s="5">
        <v>10</v>
      </c>
      <c r="C678" s="10">
        <v>0.36199999999999999</v>
      </c>
      <c r="D678" s="23"/>
    </row>
    <row r="679" spans="1:4">
      <c r="A679" s="2" t="s">
        <v>32</v>
      </c>
      <c r="B679" s="5">
        <v>11</v>
      </c>
      <c r="C679" s="10">
        <v>0.375</v>
      </c>
      <c r="D679" s="23"/>
    </row>
    <row r="680" spans="1:4">
      <c r="A680" s="2" t="s">
        <v>32</v>
      </c>
      <c r="B680" s="5">
        <v>12</v>
      </c>
      <c r="C680" s="10">
        <v>0.36499999999999999</v>
      </c>
      <c r="D680" s="23"/>
    </row>
    <row r="681" spans="1:4">
      <c r="A681" s="2" t="s">
        <v>32</v>
      </c>
      <c r="B681" s="5">
        <v>13</v>
      </c>
      <c r="C681" s="10">
        <v>0.34</v>
      </c>
      <c r="D681" s="23"/>
    </row>
    <row r="682" spans="1:4">
      <c r="A682" s="2" t="s">
        <v>32</v>
      </c>
      <c r="B682" s="5">
        <v>14</v>
      </c>
      <c r="C682" s="10">
        <v>0.36599999999999999</v>
      </c>
      <c r="D682" s="23"/>
    </row>
    <row r="683" spans="1:4">
      <c r="A683" s="2" t="s">
        <v>32</v>
      </c>
      <c r="B683" s="5">
        <v>15</v>
      </c>
      <c r="C683" s="10">
        <v>0.37</v>
      </c>
      <c r="D683" s="23"/>
    </row>
    <row r="684" spans="1:4">
      <c r="A684" s="2" t="s">
        <v>32</v>
      </c>
      <c r="B684" s="5">
        <v>16</v>
      </c>
      <c r="C684" s="10">
        <v>0.36699999999999999</v>
      </c>
      <c r="D684" s="23"/>
    </row>
    <row r="685" spans="1:4">
      <c r="A685" s="2" t="s">
        <v>32</v>
      </c>
      <c r="B685" s="5">
        <v>17</v>
      </c>
      <c r="C685" s="10">
        <v>0.32</v>
      </c>
      <c r="D685" s="23"/>
    </row>
    <row r="686" spans="1:4">
      <c r="A686" s="2" t="s">
        <v>32</v>
      </c>
      <c r="B686" s="5">
        <v>18</v>
      </c>
      <c r="C686" s="10">
        <v>0.11</v>
      </c>
      <c r="D686" s="23"/>
    </row>
    <row r="687" spans="1:4">
      <c r="A687" s="2" t="s">
        <v>32</v>
      </c>
      <c r="B687" s="5">
        <v>19</v>
      </c>
      <c r="C687" s="10">
        <v>6.0000000000000001E-3</v>
      </c>
      <c r="D687" s="23"/>
    </row>
    <row r="688" spans="1:4">
      <c r="A688" s="2" t="s">
        <v>32</v>
      </c>
      <c r="B688" s="5">
        <v>2</v>
      </c>
      <c r="C688" s="10">
        <v>3.0000000000000001E-3</v>
      </c>
      <c r="D688" s="23"/>
    </row>
    <row r="689" spans="1:4">
      <c r="A689" s="2" t="s">
        <v>32</v>
      </c>
      <c r="B689" s="5">
        <v>20</v>
      </c>
      <c r="C689" s="10">
        <v>3.0000000000000001E-3</v>
      </c>
      <c r="D689" s="23"/>
    </row>
    <row r="690" spans="1:4">
      <c r="A690" s="2" t="s">
        <v>32</v>
      </c>
      <c r="B690" s="5">
        <v>21</v>
      </c>
      <c r="C690" s="10">
        <v>3.0000000000000001E-3</v>
      </c>
      <c r="D690" s="23"/>
    </row>
    <row r="691" spans="1:4">
      <c r="A691" s="2" t="s">
        <v>32</v>
      </c>
      <c r="B691" s="5">
        <v>22</v>
      </c>
      <c r="C691" s="10">
        <v>1E-3</v>
      </c>
      <c r="D691" s="23"/>
    </row>
    <row r="692" spans="1:4">
      <c r="A692" s="2" t="s">
        <v>32</v>
      </c>
      <c r="B692" s="5">
        <v>23</v>
      </c>
      <c r="C692" s="10">
        <v>2E-3</v>
      </c>
      <c r="D692" s="23"/>
    </row>
    <row r="693" spans="1:4">
      <c r="A693" s="2" t="s">
        <v>32</v>
      </c>
      <c r="B693" s="5">
        <v>3</v>
      </c>
      <c r="C693" s="10">
        <v>2E-3</v>
      </c>
      <c r="D693" s="23"/>
    </row>
    <row r="694" spans="1:4">
      <c r="A694" s="2" t="s">
        <v>32</v>
      </c>
      <c r="B694" s="5">
        <v>4</v>
      </c>
      <c r="C694" s="10">
        <v>2E-3</v>
      </c>
      <c r="D694" s="23"/>
    </row>
    <row r="695" spans="1:4">
      <c r="A695" s="2" t="s">
        <v>32</v>
      </c>
      <c r="B695" s="5">
        <v>5</v>
      </c>
      <c r="C695" s="10">
        <v>1E-3</v>
      </c>
      <c r="D695" s="23"/>
    </row>
    <row r="696" spans="1:4">
      <c r="A696" s="2" t="s">
        <v>32</v>
      </c>
      <c r="B696" s="5">
        <v>6</v>
      </c>
      <c r="C696" s="10">
        <v>2E-3</v>
      </c>
      <c r="D696" s="23"/>
    </row>
    <row r="697" spans="1:4">
      <c r="A697" s="2" t="s">
        <v>32</v>
      </c>
      <c r="B697" s="5">
        <v>7</v>
      </c>
      <c r="C697" s="10">
        <v>0.127</v>
      </c>
      <c r="D697" s="23"/>
    </row>
    <row r="698" spans="1:4">
      <c r="A698" s="2" t="s">
        <v>32</v>
      </c>
      <c r="B698" s="5">
        <v>8</v>
      </c>
      <c r="C698" s="10">
        <v>7.4999999999999997E-2</v>
      </c>
      <c r="D698" s="23"/>
    </row>
    <row r="699" spans="1:4">
      <c r="A699" s="2" t="s">
        <v>32</v>
      </c>
      <c r="B699" s="5">
        <v>9</v>
      </c>
      <c r="C699" s="10">
        <v>0.26800000000000002</v>
      </c>
      <c r="D699" s="23"/>
    </row>
    <row r="700" spans="1:4">
      <c r="A700" s="2" t="s">
        <v>33</v>
      </c>
      <c r="B700" s="5">
        <v>0</v>
      </c>
      <c r="C700" s="10">
        <v>1E-3</v>
      </c>
      <c r="D700" s="23"/>
    </row>
    <row r="701" spans="1:4">
      <c r="A701" s="2" t="s">
        <v>33</v>
      </c>
      <c r="B701" s="5">
        <v>1</v>
      </c>
      <c r="C701" s="10">
        <v>2E-3</v>
      </c>
      <c r="D701" s="23"/>
    </row>
    <row r="702" spans="1:4">
      <c r="A702" s="2" t="s">
        <v>33</v>
      </c>
      <c r="B702" s="5">
        <v>10</v>
      </c>
      <c r="C702" s="10">
        <v>0.496</v>
      </c>
      <c r="D702" s="23"/>
    </row>
    <row r="703" spans="1:4">
      <c r="A703" s="2" t="s">
        <v>33</v>
      </c>
      <c r="B703" s="5">
        <v>11</v>
      </c>
      <c r="C703" s="10">
        <v>0.47499999999999998</v>
      </c>
      <c r="D703" s="23"/>
    </row>
    <row r="704" spans="1:4">
      <c r="A704" s="2" t="s">
        <v>33</v>
      </c>
      <c r="B704" s="5">
        <v>12</v>
      </c>
      <c r="C704" s="10">
        <v>0.41</v>
      </c>
      <c r="D704" s="23"/>
    </row>
    <row r="705" spans="1:4">
      <c r="A705" s="2" t="s">
        <v>33</v>
      </c>
      <c r="B705" s="5">
        <v>13</v>
      </c>
      <c r="C705" s="10">
        <v>0.44700000000000001</v>
      </c>
      <c r="D705" s="23"/>
    </row>
    <row r="706" spans="1:4">
      <c r="A706" s="2" t="s">
        <v>33</v>
      </c>
      <c r="B706" s="5">
        <v>14</v>
      </c>
      <c r="C706" s="10">
        <v>0.50700000000000001</v>
      </c>
      <c r="D706" s="23"/>
    </row>
    <row r="707" spans="1:4">
      <c r="A707" s="2" t="s">
        <v>33</v>
      </c>
      <c r="B707" s="5">
        <v>15</v>
      </c>
      <c r="C707" s="10">
        <v>0.51900000000000002</v>
      </c>
      <c r="D707" s="23"/>
    </row>
    <row r="708" spans="1:4">
      <c r="A708" s="2" t="s">
        <v>33</v>
      </c>
      <c r="B708" s="5">
        <v>16</v>
      </c>
      <c r="C708" s="10">
        <v>0.41799999999999998</v>
      </c>
      <c r="D708" s="23"/>
    </row>
    <row r="709" spans="1:4">
      <c r="A709" s="2" t="s">
        <v>33</v>
      </c>
      <c r="B709" s="5">
        <v>17</v>
      </c>
      <c r="C709" s="10">
        <v>0.40899999999999997</v>
      </c>
      <c r="D709" s="23"/>
    </row>
    <row r="710" spans="1:4">
      <c r="A710" s="2" t="s">
        <v>33</v>
      </c>
      <c r="B710" s="5">
        <v>18</v>
      </c>
      <c r="C710" s="10">
        <v>0.188</v>
      </c>
      <c r="D710" s="23"/>
    </row>
    <row r="711" spans="1:4">
      <c r="A711" s="2" t="s">
        <v>33</v>
      </c>
      <c r="B711" s="5">
        <v>19</v>
      </c>
      <c r="C711" s="10">
        <v>7.3999999999999996E-2</v>
      </c>
      <c r="D711" s="23"/>
    </row>
    <row r="712" spans="1:4">
      <c r="A712" s="2" t="s">
        <v>33</v>
      </c>
      <c r="B712" s="5">
        <v>2</v>
      </c>
      <c r="C712" s="10">
        <v>1E-3</v>
      </c>
      <c r="D712" s="23"/>
    </row>
    <row r="713" spans="1:4">
      <c r="A713" s="2" t="s">
        <v>33</v>
      </c>
      <c r="B713" s="5">
        <v>20</v>
      </c>
      <c r="C713" s="10">
        <v>2.1999999999999999E-2</v>
      </c>
      <c r="D713" s="23"/>
    </row>
    <row r="714" spans="1:4">
      <c r="A714" s="2" t="s">
        <v>33</v>
      </c>
      <c r="B714" s="5">
        <v>21</v>
      </c>
      <c r="C714" s="10">
        <v>6.0000000000000001E-3</v>
      </c>
      <c r="D714" s="23"/>
    </row>
    <row r="715" spans="1:4">
      <c r="A715" s="2" t="s">
        <v>33</v>
      </c>
      <c r="B715" s="5">
        <v>22</v>
      </c>
      <c r="C715" s="10">
        <v>5.0000000000000001E-3</v>
      </c>
      <c r="D715" s="23"/>
    </row>
    <row r="716" spans="1:4">
      <c r="A716" s="2" t="s">
        <v>33</v>
      </c>
      <c r="B716" s="5">
        <v>23</v>
      </c>
      <c r="C716" s="10">
        <v>2E-3</v>
      </c>
      <c r="D716" s="23"/>
    </row>
    <row r="717" spans="1:4">
      <c r="A717" s="2" t="s">
        <v>33</v>
      </c>
      <c r="B717" s="5">
        <v>3</v>
      </c>
      <c r="C717" s="10">
        <v>3.0000000000000001E-3</v>
      </c>
      <c r="D717" s="23"/>
    </row>
    <row r="718" spans="1:4">
      <c r="A718" s="2" t="s">
        <v>33</v>
      </c>
      <c r="B718" s="5">
        <v>4</v>
      </c>
      <c r="C718" s="10">
        <v>3.0000000000000001E-3</v>
      </c>
      <c r="D718" s="23"/>
    </row>
    <row r="719" spans="1:4">
      <c r="A719" s="2" t="s">
        <v>33</v>
      </c>
      <c r="B719" s="5">
        <v>5</v>
      </c>
      <c r="C719" s="10">
        <v>1E-3</v>
      </c>
      <c r="D719" s="23"/>
    </row>
    <row r="720" spans="1:4">
      <c r="A720" s="2" t="s">
        <v>33</v>
      </c>
      <c r="B720" s="5">
        <v>6</v>
      </c>
      <c r="C720" s="10">
        <v>2E-3</v>
      </c>
      <c r="D720" s="23"/>
    </row>
    <row r="721" spans="1:7">
      <c r="A721" s="2" t="s">
        <v>33</v>
      </c>
      <c r="B721" s="5">
        <v>7</v>
      </c>
      <c r="C721" s="10">
        <v>0.11799999999999999</v>
      </c>
      <c r="D721" s="23" t="s">
        <v>47</v>
      </c>
    </row>
    <row r="722" spans="1:7">
      <c r="A722" s="2" t="s">
        <v>33</v>
      </c>
      <c r="B722" s="5">
        <v>8</v>
      </c>
      <c r="C722" s="10">
        <v>0.14899999999999999</v>
      </c>
      <c r="D722" s="23"/>
    </row>
    <row r="723" spans="1:7">
      <c r="A723" s="2" t="s">
        <v>33</v>
      </c>
      <c r="B723" s="5">
        <v>9</v>
      </c>
      <c r="C723" s="30">
        <v>0.40899999999999997</v>
      </c>
    </row>
    <row r="724" spans="1:7" ht="15.75" thickBot="1">
      <c r="A724" s="2"/>
      <c r="B724" s="29"/>
      <c r="C724" s="23"/>
    </row>
    <row r="725" spans="1:7" ht="15.75" thickBot="1">
      <c r="A725" s="2"/>
      <c r="B725" s="29"/>
      <c r="C725" s="23"/>
      <c r="D725" s="35" t="s">
        <v>37</v>
      </c>
    </row>
    <row r="726" spans="1:7" ht="15.75" thickBot="1">
      <c r="A726" s="2"/>
      <c r="B726" s="29"/>
      <c r="C726" s="108">
        <f>AVERAGE(C4:C723)</f>
        <v>0.23344861111111126</v>
      </c>
      <c r="D726" s="38">
        <f>C726*400</f>
        <v>93.379444444444502</v>
      </c>
    </row>
    <row r="727" spans="1:7" ht="15.75" thickBot="1">
      <c r="A727" s="2"/>
      <c r="B727" s="29"/>
      <c r="C727" s="23"/>
      <c r="D727" s="36" t="s">
        <v>48</v>
      </c>
    </row>
    <row r="728" spans="1:7" ht="15.75" thickBot="1">
      <c r="A728" s="2"/>
      <c r="B728" s="29"/>
      <c r="C728" s="31">
        <f>MAX(C4:C723)</f>
        <v>0.66600000000000004</v>
      </c>
      <c r="D728" s="37">
        <f>C728*400</f>
        <v>266.40000000000003</v>
      </c>
    </row>
    <row r="729" spans="1:7" ht="15.75" thickBot="1">
      <c r="A729" s="2"/>
      <c r="B729" s="5"/>
      <c r="C729" s="33"/>
      <c r="D729" s="28" t="s">
        <v>39</v>
      </c>
    </row>
    <row r="730" spans="1:7" ht="15.75" thickBot="1">
      <c r="A730" s="3" t="s">
        <v>0</v>
      </c>
      <c r="B730" s="32" t="s">
        <v>0</v>
      </c>
      <c r="C730" s="107">
        <v>168.08300000000014</v>
      </c>
      <c r="D730" s="34">
        <f>C730*400</f>
        <v>67233.200000000055</v>
      </c>
    </row>
    <row r="731" spans="1:7">
      <c r="E731" s="39" t="s">
        <v>61</v>
      </c>
      <c r="G731" s="39" t="s">
        <v>62</v>
      </c>
    </row>
    <row r="732" spans="1:7" ht="15.75" thickBot="1">
      <c r="E732" s="40">
        <f>F741/D730</f>
        <v>11.182529464609736</v>
      </c>
      <c r="G732" s="59">
        <v>7.35</v>
      </c>
    </row>
    <row r="733" spans="1:7">
      <c r="E733" s="112"/>
      <c r="F733" s="113"/>
      <c r="G733" s="114"/>
    </row>
    <row r="734" spans="1:7" ht="18.75">
      <c r="C734" s="106"/>
      <c r="D734" s="105" t="s">
        <v>80</v>
      </c>
      <c r="E734" s="104"/>
    </row>
    <row r="735" spans="1:7" ht="18.75">
      <c r="C735" s="106"/>
      <c r="D735" s="105"/>
      <c r="E735" s="104"/>
    </row>
    <row r="736" spans="1:7">
      <c r="E736" s="93" t="s">
        <v>59</v>
      </c>
      <c r="F736" s="94">
        <v>0</v>
      </c>
      <c r="G736" s="55" t="s">
        <v>77</v>
      </c>
    </row>
    <row r="737" spans="4:11">
      <c r="E737" s="50" t="s">
        <v>65</v>
      </c>
      <c r="F737" s="71">
        <f>E732*(1+F736)</f>
        <v>11.182529464609736</v>
      </c>
      <c r="G737" s="55" t="s">
        <v>52</v>
      </c>
    </row>
    <row r="738" spans="4:11">
      <c r="E738" s="50" t="s">
        <v>66</v>
      </c>
      <c r="F738" s="83">
        <f>F758</f>
        <v>3.605</v>
      </c>
      <c r="G738" s="55" t="s">
        <v>79</v>
      </c>
    </row>
    <row r="740" spans="4:11" ht="15.75" thickBot="1">
      <c r="D740" s="80" t="s">
        <v>75</v>
      </c>
      <c r="E740" s="60"/>
      <c r="F740" s="60"/>
    </row>
    <row r="741" spans="4:11">
      <c r="D741" s="81" t="s">
        <v>40</v>
      </c>
      <c r="E741" s="82"/>
      <c r="F741" s="96">
        <v>751837.24</v>
      </c>
    </row>
    <row r="742" spans="4:11">
      <c r="D742" s="82" t="s">
        <v>38</v>
      </c>
      <c r="E742" s="95"/>
      <c r="F742" s="97">
        <v>217755.46</v>
      </c>
    </row>
    <row r="743" spans="4:11" ht="19.5" thickBot="1">
      <c r="D743" s="64" t="s">
        <v>70</v>
      </c>
      <c r="E743" s="65"/>
      <c r="F743" s="98">
        <f>SUM(F741:F742)</f>
        <v>969592.7</v>
      </c>
      <c r="G743" s="21"/>
    </row>
    <row r="744" spans="4:11" ht="18.75">
      <c r="D744" s="78" t="s">
        <v>71</v>
      </c>
      <c r="E744" s="99"/>
      <c r="F744" s="103">
        <f>F743*(1+F736)</f>
        <v>969592.7</v>
      </c>
      <c r="G744" s="21"/>
      <c r="H744" s="21"/>
      <c r="I744" s="21"/>
      <c r="J744" s="21"/>
      <c r="K744" s="21"/>
    </row>
    <row r="745" spans="4:11" ht="15.75" thickBot="1">
      <c r="D745" s="77" t="s">
        <v>58</v>
      </c>
      <c r="E745" s="63"/>
      <c r="F745" s="102">
        <f>F743-F744</f>
        <v>0</v>
      </c>
      <c r="G745" s="92" t="s">
        <v>86</v>
      </c>
      <c r="H745" s="61"/>
      <c r="I745" s="62"/>
      <c r="J745" s="21"/>
      <c r="K745" s="21"/>
    </row>
    <row r="746" spans="4:11">
      <c r="H746" s="61"/>
      <c r="I746" s="62"/>
      <c r="J746" s="21"/>
      <c r="K746" s="21"/>
    </row>
    <row r="747" spans="4:11">
      <c r="H747" s="61"/>
      <c r="I747" s="62"/>
      <c r="J747" s="21"/>
      <c r="K747" s="21"/>
    </row>
    <row r="748" spans="4:11">
      <c r="D748" s="44" t="s">
        <v>64</v>
      </c>
      <c r="H748" s="21"/>
      <c r="I748" s="21"/>
      <c r="J748" s="21"/>
      <c r="K748" s="21"/>
    </row>
    <row r="749" spans="4:11">
      <c r="D749" s="48" t="s">
        <v>43</v>
      </c>
      <c r="E749" s="51" t="s">
        <v>45</v>
      </c>
      <c r="F749" s="45">
        <f>D730*1.4</f>
        <v>94126.480000000069</v>
      </c>
    </row>
    <row r="750" spans="4:11">
      <c r="D750" s="46" t="s">
        <v>53</v>
      </c>
      <c r="E750" s="52" t="s">
        <v>46</v>
      </c>
      <c r="F750" s="41">
        <f>D730*0.3*G732</f>
        <v>148249.20600000012</v>
      </c>
    </row>
    <row r="751" spans="4:11">
      <c r="D751" s="42" t="s">
        <v>44</v>
      </c>
      <c r="E751" s="51" t="s">
        <v>51</v>
      </c>
      <c r="F751" s="41">
        <v>750000</v>
      </c>
    </row>
    <row r="752" spans="4:11">
      <c r="D752" s="42" t="s">
        <v>41</v>
      </c>
      <c r="E752" s="51" t="s">
        <v>51</v>
      </c>
      <c r="F752" s="41">
        <v>450000</v>
      </c>
    </row>
    <row r="753" spans="4:10">
      <c r="E753" s="42" t="s">
        <v>67</v>
      </c>
      <c r="F753" s="72">
        <f>SUM(F749:F752)</f>
        <v>1442375.6860000002</v>
      </c>
      <c r="H753" s="21"/>
      <c r="I753" s="21"/>
      <c r="J753" s="21"/>
    </row>
    <row r="754" spans="4:10">
      <c r="F754" s="69" t="s">
        <v>87</v>
      </c>
      <c r="G754" s="110"/>
      <c r="H754" s="109"/>
      <c r="I754" s="21"/>
      <c r="J754" s="21"/>
    </row>
    <row r="755" spans="4:10">
      <c r="F755" s="70" t="s">
        <v>88</v>
      </c>
      <c r="G755" s="109"/>
      <c r="H755" s="109"/>
      <c r="I755" s="21"/>
      <c r="J755" s="21"/>
    </row>
    <row r="756" spans="4:10">
      <c r="F756" s="111"/>
      <c r="G756" s="21"/>
      <c r="H756" s="21"/>
      <c r="I756" s="21"/>
      <c r="J756" s="21"/>
    </row>
    <row r="757" spans="4:10">
      <c r="E757" s="48" t="s">
        <v>68</v>
      </c>
      <c r="F757" s="73">
        <f>F753/D730</f>
        <v>21.453324934704863</v>
      </c>
    </row>
    <row r="758" spans="4:10">
      <c r="E758" s="48" t="s">
        <v>69</v>
      </c>
      <c r="F758" s="74">
        <f>SUM(F749:F750)/D730</f>
        <v>3.605</v>
      </c>
    </row>
    <row r="759" spans="4:10">
      <c r="E759" s="11"/>
    </row>
    <row r="760" spans="4:10">
      <c r="D760" s="54" t="s">
        <v>56</v>
      </c>
    </row>
    <row r="761" spans="4:10">
      <c r="D761" s="48" t="s">
        <v>49</v>
      </c>
      <c r="E761" s="43" t="s">
        <v>55</v>
      </c>
      <c r="F761" s="45">
        <v>100000</v>
      </c>
    </row>
    <row r="762" spans="4:10">
      <c r="D762" s="46" t="s">
        <v>54</v>
      </c>
      <c r="E762" s="47" t="s">
        <v>60</v>
      </c>
      <c r="F762" s="41">
        <f>0.3*90*2*G732*24*30</f>
        <v>285767.99999999994</v>
      </c>
    </row>
    <row r="763" spans="4:10">
      <c r="D763" s="48" t="s">
        <v>43</v>
      </c>
      <c r="E763" s="53" t="s">
        <v>45</v>
      </c>
      <c r="F763" s="41">
        <f>1.4*90*2*24*30</f>
        <v>181439.99999999997</v>
      </c>
    </row>
    <row r="764" spans="4:10">
      <c r="E764" s="42" t="s">
        <v>42</v>
      </c>
      <c r="F764" s="100">
        <f>SUM(F761:F763)</f>
        <v>567207.99999999988</v>
      </c>
    </row>
    <row r="766" spans="4:10">
      <c r="D766" s="49" t="s">
        <v>85</v>
      </c>
    </row>
    <row r="767" spans="4:10" ht="30">
      <c r="D767" s="67" t="s">
        <v>63</v>
      </c>
      <c r="E767" s="53" t="s">
        <v>51</v>
      </c>
      <c r="F767" s="75">
        <f>F744-F753</f>
        <v>-472782.98600000027</v>
      </c>
    </row>
    <row r="768" spans="4:10">
      <c r="D768" s="42" t="s">
        <v>72</v>
      </c>
      <c r="E768" s="43" t="s">
        <v>73</v>
      </c>
      <c r="F768" s="41">
        <v>780000</v>
      </c>
      <c r="G768" s="55" t="s">
        <v>74</v>
      </c>
    </row>
    <row r="769" spans="1:10">
      <c r="E769" s="42" t="s">
        <v>50</v>
      </c>
      <c r="F769" s="100">
        <f>SUM(F767:F768)</f>
        <v>307217.01399999973</v>
      </c>
    </row>
    <row r="771" spans="1:10">
      <c r="D771" s="79" t="s">
        <v>81</v>
      </c>
    </row>
    <row r="772" spans="1:10">
      <c r="D772" s="42" t="s">
        <v>82</v>
      </c>
      <c r="E772" s="43"/>
      <c r="F772" s="56">
        <f>F751+(F769/2)</f>
        <v>903608.50699999987</v>
      </c>
    </row>
    <row r="773" spans="1:10">
      <c r="D773" s="42" t="s">
        <v>83</v>
      </c>
      <c r="E773" s="43" t="s">
        <v>57</v>
      </c>
      <c r="F773" s="57">
        <f>F745</f>
        <v>0</v>
      </c>
    </row>
    <row r="774" spans="1:10">
      <c r="D774" s="42" t="s">
        <v>84</v>
      </c>
      <c r="E774" s="43"/>
      <c r="F774" s="58">
        <f>F752+F769/2</f>
        <v>603608.50699999987</v>
      </c>
      <c r="I774" s="60"/>
      <c r="J774" s="60"/>
    </row>
    <row r="775" spans="1:10" ht="15.75" thickBot="1">
      <c r="A775" s="18"/>
      <c r="B775" s="84"/>
      <c r="C775" s="85"/>
      <c r="D775" s="85"/>
      <c r="E775" s="18"/>
      <c r="F775" s="18"/>
      <c r="G775" s="18"/>
      <c r="H775" s="18"/>
      <c r="I775" s="60"/>
      <c r="J775" s="60"/>
    </row>
    <row r="776" spans="1:10" ht="15.75" thickTop="1">
      <c r="I776" s="60"/>
      <c r="J776" s="60"/>
    </row>
    <row r="777" spans="1:10">
      <c r="D777" s="44" t="s">
        <v>76</v>
      </c>
    </row>
    <row r="778" spans="1:10" ht="18.75">
      <c r="D778" s="64" t="s">
        <v>70</v>
      </c>
      <c r="E778" s="65"/>
      <c r="F778" s="101">
        <f>F743</f>
        <v>969592.7</v>
      </c>
      <c r="G778" s="21"/>
    </row>
    <row r="779" spans="1:10" ht="18.75">
      <c r="D779" s="78" t="s">
        <v>71</v>
      </c>
      <c r="E779" s="66"/>
      <c r="F779" s="101">
        <f>F744</f>
        <v>969592.7</v>
      </c>
      <c r="G779" s="21"/>
    </row>
    <row r="780" spans="1:10">
      <c r="D780" s="77" t="s">
        <v>89</v>
      </c>
      <c r="E780" s="76" t="s">
        <v>86</v>
      </c>
      <c r="F780" s="120">
        <f>F778-F779</f>
        <v>0</v>
      </c>
    </row>
    <row r="781" spans="1:10">
      <c r="D781" s="86" t="s">
        <v>61</v>
      </c>
      <c r="E781" s="68"/>
      <c r="F781" s="119">
        <f>E732</f>
        <v>11.182529464609736</v>
      </c>
    </row>
    <row r="782" spans="1:10">
      <c r="D782" s="86" t="s">
        <v>59</v>
      </c>
      <c r="E782" s="90" t="s">
        <v>77</v>
      </c>
      <c r="F782" s="87">
        <f>F736</f>
        <v>0</v>
      </c>
    </row>
    <row r="783" spans="1:10">
      <c r="D783" s="89" t="s">
        <v>65</v>
      </c>
      <c r="E783" s="91" t="s">
        <v>52</v>
      </c>
      <c r="F783" s="117">
        <f>F737</f>
        <v>11.182529464609736</v>
      </c>
    </row>
    <row r="784" spans="1:10">
      <c r="D784" s="48" t="s">
        <v>78</v>
      </c>
      <c r="E784" s="68"/>
      <c r="F784" s="121">
        <f>F757</f>
        <v>21.453324934704863</v>
      </c>
    </row>
    <row r="785" spans="4:7">
      <c r="D785" s="86" t="s">
        <v>66</v>
      </c>
      <c r="E785" s="88" t="s">
        <v>79</v>
      </c>
      <c r="F785" s="118">
        <f>F738</f>
        <v>3.605</v>
      </c>
      <c r="G785" s="55"/>
    </row>
  </sheetData>
  <mergeCells count="2">
    <mergeCell ref="A1:C1"/>
    <mergeCell ref="A2:C2"/>
  </mergeCells>
  <phoneticPr fontId="12" type="noConversion"/>
  <pageMargins left="0.59055118110236227" right="0.39370078740157483" top="0.39370078740157483" bottom="0.39370078740157483" header="0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2025-09-18T08:57:11Z</cp:lastPrinted>
  <dcterms:created xsi:type="dcterms:W3CDTF">2025-07-09T13:18:12Z</dcterms:created>
  <dcterms:modified xsi:type="dcterms:W3CDTF">2025-09-26T12:12:39Z</dcterms:modified>
</cp:coreProperties>
</file>