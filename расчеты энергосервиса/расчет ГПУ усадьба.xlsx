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9140" windowHeight="12210"/>
  </bookViews>
  <sheets>
    <sheet name="Report" sheetId="1" r:id="rId1"/>
  </sheets>
  <calcPr calcId="114210" calcOnSave="0" concurrentCalc="0"/>
</workbook>
</file>

<file path=xl/calcChain.xml><?xml version="1.0" encoding="utf-8"?>
<calcChain xmlns="http://schemas.openxmlformats.org/spreadsheetml/2006/main">
  <c r="F14" i="1"/>
  <c r="F15"/>
  <c r="F16"/>
  <c r="F17"/>
  <c r="F18"/>
  <c r="F19"/>
  <c r="F20"/>
  <c r="F21"/>
  <c r="F22"/>
  <c r="F23"/>
  <c r="F24"/>
  <c r="F25"/>
  <c r="F13"/>
  <c r="B39"/>
  <c r="D39"/>
  <c r="E14"/>
  <c r="E15"/>
  <c r="E16"/>
  <c r="E17"/>
  <c r="E18"/>
  <c r="E19"/>
  <c r="E20"/>
  <c r="E21"/>
  <c r="E22"/>
  <c r="E23"/>
  <c r="E24"/>
  <c r="E25"/>
  <c r="E13"/>
  <c r="E26"/>
  <c r="E7"/>
  <c r="E4"/>
  <c r="E5"/>
  <c r="E6"/>
  <c r="E8"/>
  <c r="E9"/>
  <c r="E10"/>
  <c r="D49"/>
  <c r="C36"/>
  <c r="D52"/>
  <c r="D58"/>
  <c r="D57"/>
  <c r="D65"/>
  <c r="D42"/>
  <c r="D66"/>
  <c r="D68"/>
  <c r="D64"/>
  <c r="D50"/>
  <c r="D62"/>
  <c r="D61"/>
  <c r="D53"/>
  <c r="D54"/>
  <c r="D51"/>
  <c r="D63"/>
  <c r="D43"/>
</calcChain>
</file>

<file path=xl/sharedStrings.xml><?xml version="1.0" encoding="utf-8"?>
<sst xmlns="http://schemas.openxmlformats.org/spreadsheetml/2006/main" count="76" uniqueCount="64">
  <si>
    <t>свое потребление</t>
  </si>
  <si>
    <t>арендатор по сч-фактуре</t>
  </si>
  <si>
    <t>обслуживание ГПУ</t>
  </si>
  <si>
    <t>1,4р Х кВтЧ</t>
  </si>
  <si>
    <t>с накидкой</t>
  </si>
  <si>
    <t>расходы на газ на ээ</t>
  </si>
  <si>
    <t>разница для заказчика в мес</t>
  </si>
  <si>
    <t>разница на ээ тариф</t>
  </si>
  <si>
    <t>ээ тариф от сети сейчас</t>
  </si>
  <si>
    <t>план расходов на 3х ГПУ на потребеление заказчика(на примере июня 2025г)</t>
  </si>
  <si>
    <t>тариф от ГПУ на Х 3года</t>
  </si>
  <si>
    <t>тариф от ГПУ после Х 3лет</t>
  </si>
  <si>
    <r>
      <t xml:space="preserve">итого вместе с арендатором заказчик платит сети </t>
    </r>
    <r>
      <rPr>
        <sz val="14"/>
        <color indexed="8"/>
        <rFont val="Calibri"/>
        <family val="2"/>
        <charset val="204"/>
      </rPr>
      <t>сейчас</t>
    </r>
  </si>
  <si>
    <r>
      <t>заказчик</t>
    </r>
    <r>
      <rPr>
        <sz val="14"/>
        <color indexed="8"/>
        <rFont val="Calibri"/>
        <family val="2"/>
        <charset val="204"/>
      </rPr>
      <t xml:space="preserve"> будет</t>
    </r>
    <r>
      <rPr>
        <sz val="11"/>
        <color indexed="8"/>
        <rFont val="Calibri"/>
        <family val="2"/>
      </rPr>
      <t xml:space="preserve"> платить по тарифу от ГПУ</t>
    </r>
  </si>
  <si>
    <t>факт расходы заказчика на ээ (на примере июня 2025г)</t>
  </si>
  <si>
    <t>реальный тариф без компенсации от инвестора и подрядчика</t>
  </si>
  <si>
    <t>после выкупа ГПУ</t>
  </si>
  <si>
    <t>НО + выкуп 3 х ГПУ</t>
  </si>
  <si>
    <t>разница для заказчика мес</t>
  </si>
  <si>
    <t>потребление в кВтЧ полное</t>
  </si>
  <si>
    <t>кВтЧ</t>
  </si>
  <si>
    <t>общий объем выкупа ээ</t>
  </si>
  <si>
    <t>тариф от ГПУ после выкупа</t>
  </si>
  <si>
    <t>предварительный срок выкупа(мес)</t>
  </si>
  <si>
    <t>₽</t>
  </si>
  <si>
    <t>с учетом тарифа на сейчас</t>
  </si>
  <si>
    <t>за месяц</t>
  </si>
  <si>
    <t>за 4 года</t>
  </si>
  <si>
    <t>из наших внутренних расчетов</t>
  </si>
  <si>
    <t>скидка\накидка</t>
  </si>
  <si>
    <t>параметры для договора с заказчиком</t>
  </si>
  <si>
    <t>данные заказчика на июнь 2025</t>
  </si>
  <si>
    <t>по счетчикам</t>
  </si>
  <si>
    <t>ээ тариф от сети сейчас(факт)</t>
  </si>
  <si>
    <t>газ тариф(факт)</t>
  </si>
  <si>
    <t>0,3 Х 11,227р</t>
  </si>
  <si>
    <t>УСАДЬБА расчет выкупа ГПУх3 по данным июня 2025</t>
  </si>
  <si>
    <t>газ</t>
  </si>
  <si>
    <t>февраль</t>
  </si>
  <si>
    <t>объем</t>
  </si>
  <si>
    <t>цена</t>
  </si>
  <si>
    <t>тариф</t>
  </si>
  <si>
    <t>декабрь</t>
  </si>
  <si>
    <t>май</t>
  </si>
  <si>
    <t>апрель</t>
  </si>
  <si>
    <t>март</t>
  </si>
  <si>
    <t>январь</t>
  </si>
  <si>
    <t>среднее</t>
  </si>
  <si>
    <t>ээ</t>
  </si>
  <si>
    <t>сентябрь24г</t>
  </si>
  <si>
    <t>август25г</t>
  </si>
  <si>
    <t>июль25г</t>
  </si>
  <si>
    <t>июнь25г</t>
  </si>
  <si>
    <t>апрель25г</t>
  </si>
  <si>
    <t>май25г</t>
  </si>
  <si>
    <t>март25г</t>
  </si>
  <si>
    <t>февраль25г</t>
  </si>
  <si>
    <t>январь25г</t>
  </si>
  <si>
    <t>декабрь24г</t>
  </si>
  <si>
    <t>ноябрь24г</t>
  </si>
  <si>
    <t>октябрь24г</t>
  </si>
  <si>
    <t>сентябрь25г</t>
  </si>
  <si>
    <t>мощность средняя</t>
  </si>
  <si>
    <t>всего кВтЧ, данные заказчика</t>
  </si>
</sst>
</file>

<file path=xl/styles.xml><?xml version="1.0" encoding="utf-8"?>
<styleSheet xmlns="http://schemas.openxmlformats.org/spreadsheetml/2006/main">
  <numFmts count="8">
    <numFmt numFmtId="43" formatCode="_-* #,##0.00\ _₽_-;\-* #,##0.00\ _₽_-;_-* &quot;-&quot;??\ _₽_-;_-@_-"/>
    <numFmt numFmtId="164" formatCode="_-* #,##0.000\ _₽_-;\-* #,##0.000\ _₽_-;_-* &quot;-&quot;??\ _₽_-;_-@_-"/>
    <numFmt numFmtId="165" formatCode="_-* #,##0.0\ _₽_-;\-* #,##0.0\ _₽_-;_-* &quot;-&quot;??\ _₽_-;_-@_-"/>
    <numFmt numFmtId="166" formatCode="_-* #,##0\ _₽_-;\-* #,##0\ _₽_-;_-* &quot;-&quot;??\ _₽_-;_-@_-"/>
    <numFmt numFmtId="167" formatCode="0.0"/>
    <numFmt numFmtId="168" formatCode="#,##0\ &quot;₽&quot;"/>
    <numFmt numFmtId="169" formatCode="#,##0.0\ &quot;₽&quot;"/>
    <numFmt numFmtId="171" formatCode="#,##0.00\ &quot;₽&quot;"/>
  </numFmts>
  <fonts count="21"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  <charset val="204"/>
    </font>
    <font>
      <i/>
      <sz val="11"/>
      <color indexed="8"/>
      <name val="Calibri"/>
      <family val="2"/>
      <charset val="204"/>
    </font>
    <font>
      <b/>
      <i/>
      <sz val="11"/>
      <color indexed="8"/>
      <name val="Calibri"/>
      <family val="2"/>
      <charset val="204"/>
    </font>
    <font>
      <b/>
      <sz val="11"/>
      <color indexed="17"/>
      <name val="Calibri"/>
      <family val="2"/>
      <charset val="204"/>
    </font>
    <font>
      <b/>
      <sz val="11"/>
      <color indexed="53"/>
      <name val="Calibri"/>
      <family val="2"/>
      <charset val="204"/>
    </font>
    <font>
      <sz val="14"/>
      <color indexed="8"/>
      <name val="Calibri"/>
      <family val="2"/>
      <charset val="204"/>
    </font>
    <font>
      <b/>
      <sz val="11"/>
      <color indexed="12"/>
      <name val="Calibri"/>
      <family val="2"/>
      <charset val="204"/>
    </font>
    <font>
      <b/>
      <sz val="11"/>
      <color indexed="60"/>
      <name val="Calibri"/>
      <family val="2"/>
      <charset val="204"/>
    </font>
    <font>
      <b/>
      <i/>
      <sz val="11"/>
      <color indexed="17"/>
      <name val="Calibri"/>
      <family val="2"/>
      <charset val="204"/>
    </font>
    <font>
      <i/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8">
    <xf numFmtId="0" fontId="0" fillId="0" borderId="0" xfId="0"/>
    <xf numFmtId="164" fontId="0" fillId="0" borderId="0" xfId="1" applyNumberFormat="1" applyFont="1"/>
    <xf numFmtId="0" fontId="0" fillId="0" borderId="0" xfId="0" applyFill="1" applyBorder="1"/>
    <xf numFmtId="0" fontId="0" fillId="2" borderId="1" xfId="0" applyFill="1" applyBorder="1"/>
    <xf numFmtId="167" fontId="8" fillId="2" borderId="2" xfId="0" applyNumberFormat="1" applyFont="1" applyFill="1" applyBorder="1"/>
    <xf numFmtId="168" fontId="0" fillId="0" borderId="3" xfId="0" applyNumberFormat="1" applyBorder="1"/>
    <xf numFmtId="164" fontId="0" fillId="0" borderId="3" xfId="1" applyNumberFormat="1" applyFont="1" applyBorder="1"/>
    <xf numFmtId="0" fontId="0" fillId="0" borderId="3" xfId="0" applyBorder="1"/>
    <xf numFmtId="164" fontId="10" fillId="0" borderId="0" xfId="1" applyNumberFormat="1" applyFont="1"/>
    <xf numFmtId="168" fontId="0" fillId="0" borderId="4" xfId="0" applyNumberFormat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0" fontId="0" fillId="3" borderId="6" xfId="0" applyFill="1" applyBorder="1"/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9" fillId="0" borderId="0" xfId="0" applyFont="1"/>
    <xf numFmtId="0" fontId="0" fillId="0" borderId="0" xfId="0" applyBorder="1"/>
    <xf numFmtId="168" fontId="15" fillId="0" borderId="0" xfId="0" applyNumberFormat="1" applyFont="1" applyFill="1" applyBorder="1"/>
    <xf numFmtId="0" fontId="9" fillId="0" borderId="0" xfId="0" applyFont="1" applyFill="1" applyBorder="1"/>
    <xf numFmtId="0" fontId="0" fillId="0" borderId="7" xfId="0" applyBorder="1"/>
    <xf numFmtId="0" fontId="0" fillId="0" borderId="8" xfId="0" applyFill="1" applyBorder="1"/>
    <xf numFmtId="0" fontId="0" fillId="0" borderId="9" xfId="0" applyFill="1" applyBorder="1"/>
    <xf numFmtId="9" fontId="7" fillId="0" borderId="4" xfId="0" applyNumberFormat="1" applyFont="1" applyBorder="1" applyAlignment="1">
      <alignment horizontal="left"/>
    </xf>
    <xf numFmtId="0" fontId="0" fillId="0" borderId="4" xfId="0" applyBorder="1"/>
    <xf numFmtId="167" fontId="8" fillId="3" borderId="10" xfId="0" applyNumberFormat="1" applyFont="1" applyFill="1" applyBorder="1"/>
    <xf numFmtId="0" fontId="1" fillId="0" borderId="11" xfId="0" applyFont="1" applyBorder="1"/>
    <xf numFmtId="0" fontId="0" fillId="0" borderId="6" xfId="0" applyBorder="1" applyAlignment="1"/>
    <xf numFmtId="0" fontId="10" fillId="0" borderId="0" xfId="0" applyFont="1" applyBorder="1"/>
    <xf numFmtId="166" fontId="0" fillId="0" borderId="3" xfId="0" applyNumberFormat="1" applyBorder="1"/>
    <xf numFmtId="0" fontId="0" fillId="0" borderId="6" xfId="0" applyBorder="1"/>
    <xf numFmtId="167" fontId="11" fillId="3" borderId="3" xfId="0" applyNumberFormat="1" applyFont="1" applyFill="1" applyBorder="1"/>
    <xf numFmtId="9" fontId="0" fillId="0" borderId="3" xfId="0" applyNumberFormat="1" applyFill="1" applyBorder="1"/>
    <xf numFmtId="0" fontId="17" fillId="0" borderId="0" xfId="0" applyFont="1" applyFill="1" applyBorder="1"/>
    <xf numFmtId="0" fontId="0" fillId="3" borderId="12" xfId="0" applyFill="1" applyBorder="1"/>
    <xf numFmtId="9" fontId="0" fillId="3" borderId="4" xfId="0" applyNumberFormat="1" applyFill="1" applyBorder="1"/>
    <xf numFmtId="0" fontId="0" fillId="0" borderId="13" xfId="0" applyBorder="1"/>
    <xf numFmtId="168" fontId="0" fillId="0" borderId="14" xfId="1" applyNumberFormat="1" applyFont="1" applyBorder="1"/>
    <xf numFmtId="168" fontId="2" fillId="0" borderId="15" xfId="0" applyNumberFormat="1" applyFont="1" applyBorder="1"/>
    <xf numFmtId="168" fontId="19" fillId="0" borderId="16" xfId="0" applyNumberFormat="1" applyFont="1" applyFill="1" applyBorder="1"/>
    <xf numFmtId="9" fontId="7" fillId="0" borderId="13" xfId="0" applyNumberFormat="1" applyFont="1" applyBorder="1" applyAlignment="1">
      <alignment horizontal="left"/>
    </xf>
    <xf numFmtId="168" fontId="18" fillId="0" borderId="3" xfId="0" applyNumberFormat="1" applyFont="1" applyFill="1" applyBorder="1"/>
    <xf numFmtId="168" fontId="19" fillId="0" borderId="14" xfId="0" applyNumberFormat="1" applyFont="1" applyFill="1" applyBorder="1"/>
    <xf numFmtId="167" fontId="8" fillId="0" borderId="0" xfId="0" applyNumberFormat="1" applyFont="1" applyFill="1" applyBorder="1"/>
    <xf numFmtId="0" fontId="0" fillId="0" borderId="0" xfId="0" applyFill="1"/>
    <xf numFmtId="169" fontId="12" fillId="0" borderId="3" xfId="0" applyNumberFormat="1" applyFont="1" applyFill="1" applyBorder="1"/>
    <xf numFmtId="169" fontId="11" fillId="0" borderId="3" xfId="0" applyNumberFormat="1" applyFont="1" applyFill="1" applyBorder="1"/>
    <xf numFmtId="169" fontId="18" fillId="0" borderId="3" xfId="0" applyNumberFormat="1" applyFont="1" applyBorder="1"/>
    <xf numFmtId="168" fontId="15" fillId="0" borderId="3" xfId="0" applyNumberFormat="1" applyFont="1" applyFill="1" applyBorder="1"/>
    <xf numFmtId="169" fontId="8" fillId="0" borderId="3" xfId="0" applyNumberFormat="1" applyFont="1" applyBorder="1"/>
    <xf numFmtId="168" fontId="15" fillId="0" borderId="15" xfId="0" applyNumberFormat="1" applyFont="1" applyFill="1" applyBorder="1"/>
    <xf numFmtId="166" fontId="0" fillId="0" borderId="3" xfId="1" applyNumberFormat="1" applyFont="1" applyBorder="1"/>
    <xf numFmtId="168" fontId="20" fillId="0" borderId="3" xfId="0" applyNumberFormat="1" applyFont="1" applyBorder="1"/>
    <xf numFmtId="0" fontId="14" fillId="0" borderId="0" xfId="0" applyFont="1" applyFill="1" applyBorder="1"/>
    <xf numFmtId="0" fontId="9" fillId="0" borderId="0" xfId="0" applyFont="1" applyBorder="1"/>
    <xf numFmtId="164" fontId="0" fillId="0" borderId="0" xfId="1" applyNumberFormat="1" applyFont="1" applyBorder="1"/>
    <xf numFmtId="168" fontId="0" fillId="0" borderId="0" xfId="0" applyNumberFormat="1" applyBorder="1"/>
    <xf numFmtId="168" fontId="20" fillId="0" borderId="0" xfId="0" applyNumberFormat="1" applyFont="1" applyBorder="1"/>
    <xf numFmtId="0" fontId="20" fillId="0" borderId="0" xfId="0" applyFont="1"/>
    <xf numFmtId="0" fontId="0" fillId="3" borderId="3" xfId="0" applyFill="1" applyBorder="1"/>
    <xf numFmtId="1" fontId="18" fillId="3" borderId="3" xfId="0" applyNumberFormat="1" applyFont="1" applyFill="1" applyBorder="1"/>
    <xf numFmtId="0" fontId="0" fillId="0" borderId="6" xfId="0" applyFill="1" applyBorder="1"/>
    <xf numFmtId="0" fontId="0" fillId="0" borderId="11" xfId="0" applyFill="1" applyBorder="1"/>
    <xf numFmtId="0" fontId="16" fillId="0" borderId="3" xfId="0" applyFont="1" applyFill="1" applyBorder="1"/>
    <xf numFmtId="0" fontId="1" fillId="0" borderId="3" xfId="0" applyFont="1" applyBorder="1"/>
    <xf numFmtId="0" fontId="1" fillId="0" borderId="3" xfId="0" applyFont="1" applyFill="1" applyBorder="1"/>
    <xf numFmtId="0" fontId="0" fillId="0" borderId="3" xfId="0" applyFill="1" applyBorder="1"/>
    <xf numFmtId="164" fontId="3" fillId="0" borderId="14" xfId="1" applyNumberFormat="1" applyFont="1" applyBorder="1" applyAlignment="1">
      <alignment horizontal="right" vertical="top" wrapText="1"/>
    </xf>
    <xf numFmtId="166" fontId="4" fillId="4" borderId="16" xfId="1" applyNumberFormat="1" applyFont="1" applyFill="1" applyBorder="1" applyAlignment="1">
      <alignment horizontal="right" vertical="top" wrapText="1"/>
    </xf>
    <xf numFmtId="164" fontId="3" fillId="0" borderId="1" xfId="1" applyNumberFormat="1" applyFont="1" applyBorder="1" applyAlignment="1">
      <alignment horizontal="right" vertical="top" wrapText="1"/>
    </xf>
    <xf numFmtId="165" fontId="4" fillId="4" borderId="17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167" fontId="0" fillId="0" borderId="0" xfId="0" applyNumberFormat="1"/>
    <xf numFmtId="171" fontId="0" fillId="0" borderId="0" xfId="0" applyNumberFormat="1"/>
    <xf numFmtId="169" fontId="0" fillId="0" borderId="0" xfId="0" applyNumberFormat="1"/>
    <xf numFmtId="0" fontId="0" fillId="0" borderId="18" xfId="0" applyBorder="1"/>
    <xf numFmtId="169" fontId="20" fillId="0" borderId="19" xfId="0" applyNumberFormat="1" applyFont="1" applyBorder="1"/>
    <xf numFmtId="169" fontId="14" fillId="2" borderId="2" xfId="0" applyNumberFormat="1" applyFont="1" applyFill="1" applyBorder="1"/>
    <xf numFmtId="169" fontId="20" fillId="0" borderId="0" xfId="0" applyNumberFormat="1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topLeftCell="A10" workbookViewId="0">
      <selection activeCell="C36" sqref="C36"/>
    </sheetView>
  </sheetViews>
  <sheetFormatPr defaultRowHeight="15"/>
  <cols>
    <col min="1" max="1" width="5.85546875" customWidth="1"/>
    <col min="2" max="2" width="27.5703125" style="1" customWidth="1"/>
    <col min="3" max="3" width="35.28515625" customWidth="1"/>
    <col min="4" max="4" width="14.42578125" customWidth="1"/>
    <col min="6" max="6" width="19.28515625" customWidth="1"/>
    <col min="7" max="7" width="6.42578125" customWidth="1"/>
    <col min="8" max="8" width="4.7109375" customWidth="1"/>
    <col min="9" max="9" width="6.7109375" customWidth="1"/>
  </cols>
  <sheetData>
    <row r="1" spans="1:8">
      <c r="A1" s="57" t="s">
        <v>36</v>
      </c>
      <c r="G1" s="16"/>
      <c r="H1" s="16"/>
    </row>
    <row r="2" spans="1:8">
      <c r="A2" s="57"/>
      <c r="G2" s="16"/>
      <c r="H2" s="16"/>
    </row>
    <row r="3" spans="1:8">
      <c r="A3" s="57" t="s">
        <v>37</v>
      </c>
      <c r="C3" t="s">
        <v>39</v>
      </c>
      <c r="D3" t="s">
        <v>40</v>
      </c>
      <c r="E3" t="s">
        <v>41</v>
      </c>
      <c r="G3" s="16"/>
      <c r="H3" s="16"/>
    </row>
    <row r="4" spans="1:8">
      <c r="A4" s="57"/>
      <c r="B4" s="1" t="s">
        <v>42</v>
      </c>
      <c r="C4">
        <v>18155</v>
      </c>
      <c r="D4" s="72">
        <v>197555.45</v>
      </c>
      <c r="E4" s="73">
        <f t="shared" ref="E4:E9" si="0">D4/C4</f>
        <v>10.88160011016249</v>
      </c>
      <c r="G4" s="16"/>
      <c r="H4" s="16"/>
    </row>
    <row r="5" spans="1:8">
      <c r="A5" s="57"/>
      <c r="B5" s="1" t="s">
        <v>46</v>
      </c>
      <c r="C5">
        <v>23516</v>
      </c>
      <c r="D5" s="72">
        <v>255891.71</v>
      </c>
      <c r="E5" s="73">
        <f t="shared" si="0"/>
        <v>10.881600187106651</v>
      </c>
      <c r="G5" s="16"/>
      <c r="H5" s="16"/>
    </row>
    <row r="6" spans="1:8">
      <c r="A6" s="57"/>
      <c r="B6" s="1" t="s">
        <v>38</v>
      </c>
      <c r="C6">
        <v>22164</v>
      </c>
      <c r="D6" s="72">
        <v>241179.78</v>
      </c>
      <c r="E6" s="73">
        <f t="shared" si="0"/>
        <v>10.881599891716297</v>
      </c>
      <c r="G6" s="16"/>
      <c r="H6" s="16"/>
    </row>
    <row r="7" spans="1:8">
      <c r="A7" s="57"/>
      <c r="B7" s="1" t="s">
        <v>45</v>
      </c>
      <c r="C7">
        <v>13209</v>
      </c>
      <c r="D7" s="72">
        <v>143735.04999999999</v>
      </c>
      <c r="E7" s="73">
        <f t="shared" si="0"/>
        <v>10.881599666893784</v>
      </c>
      <c r="G7" s="16"/>
      <c r="H7" s="16"/>
    </row>
    <row r="8" spans="1:8">
      <c r="A8" s="57"/>
      <c r="B8" s="1" t="s">
        <v>44</v>
      </c>
      <c r="C8">
        <v>5280</v>
      </c>
      <c r="D8" s="72">
        <v>57454.85</v>
      </c>
      <c r="E8" s="73">
        <f t="shared" si="0"/>
        <v>10.881600378787878</v>
      </c>
      <c r="G8" s="16"/>
      <c r="H8" s="16"/>
    </row>
    <row r="9" spans="1:8" ht="15.75" thickBot="1">
      <c r="A9" s="57"/>
      <c r="B9" s="1" t="s">
        <v>43</v>
      </c>
      <c r="C9">
        <v>1366</v>
      </c>
      <c r="D9" s="72">
        <v>14864.27</v>
      </c>
      <c r="E9" s="73">
        <f t="shared" si="0"/>
        <v>10.881603221083456</v>
      </c>
      <c r="G9" s="16"/>
      <c r="H9" s="16"/>
    </row>
    <row r="10" spans="1:8" ht="15.75" thickBot="1">
      <c r="A10" s="57"/>
      <c r="D10" s="72"/>
      <c r="E10" s="75">
        <f>AVERAGE(E4:E9)</f>
        <v>10.881600575958425</v>
      </c>
      <c r="F10" s="74" t="s">
        <v>47</v>
      </c>
      <c r="G10" s="16"/>
      <c r="H10" s="16"/>
    </row>
    <row r="11" spans="1:8">
      <c r="A11" s="57"/>
      <c r="D11" s="72"/>
      <c r="E11" s="77"/>
      <c r="F11" s="16"/>
      <c r="G11" s="16"/>
      <c r="H11" s="16"/>
    </row>
    <row r="12" spans="1:8">
      <c r="A12" s="57" t="s">
        <v>48</v>
      </c>
      <c r="D12" s="72"/>
      <c r="E12" s="73"/>
      <c r="F12" t="s">
        <v>62</v>
      </c>
      <c r="G12" s="16"/>
      <c r="H12" s="16"/>
    </row>
    <row r="13" spans="1:8">
      <c r="A13" s="57"/>
      <c r="B13" s="1" t="s">
        <v>49</v>
      </c>
      <c r="C13" s="70">
        <v>1000.2</v>
      </c>
      <c r="D13" s="72">
        <v>7868.06</v>
      </c>
      <c r="E13" s="73">
        <f>D13/C13</f>
        <v>7.8664867026594685</v>
      </c>
      <c r="F13" s="71">
        <f>C13/30/24</f>
        <v>1.3891666666666669</v>
      </c>
      <c r="G13" s="16"/>
      <c r="H13" s="16"/>
    </row>
    <row r="14" spans="1:8">
      <c r="A14" s="57"/>
      <c r="B14" s="1" t="s">
        <v>60</v>
      </c>
      <c r="C14" s="70">
        <v>8001.6</v>
      </c>
      <c r="D14" s="72">
        <v>60896.82</v>
      </c>
      <c r="E14" s="73">
        <f t="shared" ref="E14:E25" si="1">D14/C14</f>
        <v>7.6105803839232147</v>
      </c>
      <c r="F14" s="71">
        <f t="shared" ref="F14:F25" si="2">C14/30/24</f>
        <v>11.113333333333335</v>
      </c>
      <c r="G14" s="16"/>
      <c r="H14" s="16"/>
    </row>
    <row r="15" spans="1:8">
      <c r="A15" s="57"/>
      <c r="B15" s="1" t="s">
        <v>59</v>
      </c>
      <c r="C15" s="70">
        <v>47009.4</v>
      </c>
      <c r="D15" s="72">
        <v>358035.06</v>
      </c>
      <c r="E15" s="73">
        <f t="shared" si="1"/>
        <v>7.6162439852455037</v>
      </c>
      <c r="F15" s="71">
        <f t="shared" si="2"/>
        <v>65.290833333333339</v>
      </c>
      <c r="G15" s="16"/>
      <c r="H15" s="16"/>
    </row>
    <row r="16" spans="1:8">
      <c r="A16" s="57"/>
      <c r="B16" s="1" t="s">
        <v>58</v>
      </c>
      <c r="C16" s="70">
        <v>26005.200000000001</v>
      </c>
      <c r="D16" s="72">
        <v>189033.36</v>
      </c>
      <c r="E16" s="73">
        <f t="shared" si="1"/>
        <v>7.2690600341470164</v>
      </c>
      <c r="F16" s="71">
        <f t="shared" si="2"/>
        <v>36.118333333333332</v>
      </c>
      <c r="G16" s="16"/>
      <c r="H16" s="16"/>
    </row>
    <row r="17" spans="1:8">
      <c r="A17" s="57"/>
      <c r="B17" s="1" t="s">
        <v>57</v>
      </c>
      <c r="C17" s="70">
        <v>28005.599999999999</v>
      </c>
      <c r="D17" s="72">
        <v>213688</v>
      </c>
      <c r="E17" s="73">
        <f t="shared" si="1"/>
        <v>7.6301882480646732</v>
      </c>
      <c r="F17" s="71">
        <f t="shared" si="2"/>
        <v>38.896666666666668</v>
      </c>
      <c r="G17" s="16"/>
      <c r="H17" s="16"/>
    </row>
    <row r="18" spans="1:8">
      <c r="A18" s="57"/>
      <c r="B18" s="1" t="s">
        <v>56</v>
      </c>
      <c r="C18" s="70">
        <v>18003.599999999999</v>
      </c>
      <c r="D18" s="72">
        <v>143083.46</v>
      </c>
      <c r="E18" s="73">
        <f t="shared" si="1"/>
        <v>7.9474916127885535</v>
      </c>
      <c r="F18" s="71">
        <f t="shared" si="2"/>
        <v>25.004999999999999</v>
      </c>
      <c r="G18" s="16"/>
      <c r="H18" s="16"/>
    </row>
    <row r="19" spans="1:8">
      <c r="A19" s="57"/>
      <c r="B19" s="1" t="s">
        <v>55</v>
      </c>
      <c r="C19" s="70">
        <v>13002.6</v>
      </c>
      <c r="D19" s="72">
        <v>98752.62</v>
      </c>
      <c r="E19" s="73">
        <f t="shared" si="1"/>
        <v>7.5948364173319174</v>
      </c>
      <c r="F19" s="71">
        <f t="shared" si="2"/>
        <v>18.059166666666666</v>
      </c>
      <c r="G19" s="16"/>
      <c r="H19" s="16"/>
    </row>
    <row r="20" spans="1:8">
      <c r="A20" s="57"/>
      <c r="B20" s="1" t="s">
        <v>53</v>
      </c>
      <c r="C20" s="70">
        <v>8001.6</v>
      </c>
      <c r="D20" s="72">
        <v>61606.98</v>
      </c>
      <c r="E20" s="73">
        <f t="shared" si="1"/>
        <v>7.699332633473305</v>
      </c>
      <c r="F20" s="71">
        <f t="shared" si="2"/>
        <v>11.113333333333335</v>
      </c>
      <c r="G20" s="16"/>
      <c r="H20" s="16"/>
    </row>
    <row r="21" spans="1:8">
      <c r="A21" s="57"/>
      <c r="B21" s="1" t="s">
        <v>54</v>
      </c>
      <c r="C21" s="70">
        <v>5001</v>
      </c>
      <c r="D21" s="72">
        <v>37437.35</v>
      </c>
      <c r="E21" s="73">
        <f t="shared" si="1"/>
        <v>7.4859728054389123</v>
      </c>
      <c r="F21" s="71">
        <f t="shared" si="2"/>
        <v>6.9458333333333329</v>
      </c>
      <c r="G21" s="16"/>
      <c r="H21" s="16"/>
    </row>
    <row r="22" spans="1:8">
      <c r="A22" s="57"/>
      <c r="B22" s="1" t="s">
        <v>52</v>
      </c>
      <c r="C22" s="70">
        <v>4000.8</v>
      </c>
      <c r="D22" s="72">
        <v>30563.39</v>
      </c>
      <c r="E22" s="73">
        <f t="shared" si="1"/>
        <v>7.6393196360727851</v>
      </c>
      <c r="F22" s="71">
        <f t="shared" si="2"/>
        <v>5.5566666666666675</v>
      </c>
      <c r="G22" s="16"/>
      <c r="H22" s="16"/>
    </row>
    <row r="23" spans="1:8">
      <c r="A23" s="57"/>
      <c r="B23" s="1" t="s">
        <v>51</v>
      </c>
      <c r="C23" s="70">
        <v>3000.6</v>
      </c>
      <c r="D23" s="72">
        <v>26049.95</v>
      </c>
      <c r="E23" s="73">
        <f t="shared" si="1"/>
        <v>8.6815803505965476</v>
      </c>
      <c r="F23" s="71">
        <f t="shared" si="2"/>
        <v>4.1674999999999995</v>
      </c>
      <c r="G23" s="16"/>
      <c r="H23" s="16"/>
    </row>
    <row r="24" spans="1:8">
      <c r="A24" s="57"/>
      <c r="B24" s="1" t="s">
        <v>50</v>
      </c>
      <c r="C24" s="70">
        <v>3000.6</v>
      </c>
      <c r="D24" s="72">
        <v>26681.59</v>
      </c>
      <c r="E24" s="73">
        <f t="shared" si="1"/>
        <v>8.892084916350063</v>
      </c>
      <c r="F24" s="71">
        <f t="shared" si="2"/>
        <v>4.1674999999999995</v>
      </c>
      <c r="G24" s="16"/>
      <c r="H24" s="16"/>
    </row>
    <row r="25" spans="1:8" ht="15.75" thickBot="1">
      <c r="A25" s="57"/>
      <c r="B25" s="1" t="s">
        <v>61</v>
      </c>
      <c r="C25" s="70">
        <v>4000.8</v>
      </c>
      <c r="D25" s="72">
        <v>36578.76</v>
      </c>
      <c r="E25" s="73">
        <f t="shared" si="1"/>
        <v>9.1428614277144575</v>
      </c>
      <c r="F25" s="71">
        <f t="shared" si="2"/>
        <v>5.5566666666666675</v>
      </c>
      <c r="G25" s="16"/>
      <c r="H25" s="16"/>
    </row>
    <row r="26" spans="1:8" ht="15.75" thickBot="1">
      <c r="A26" s="57"/>
      <c r="D26" s="72"/>
      <c r="E26" s="75">
        <f>AVERAGE(E13:E25)</f>
        <v>7.9289260887543396</v>
      </c>
      <c r="F26" s="74" t="s">
        <v>47</v>
      </c>
      <c r="G26" s="16"/>
      <c r="H26" s="16"/>
    </row>
    <row r="27" spans="1:8">
      <c r="A27" s="57"/>
      <c r="D27" s="72"/>
      <c r="E27" s="73"/>
      <c r="G27" s="16"/>
      <c r="H27" s="16"/>
    </row>
    <row r="28" spans="1:8">
      <c r="A28" s="57"/>
      <c r="D28" s="72"/>
      <c r="E28" s="73"/>
      <c r="G28" s="16"/>
      <c r="H28" s="16"/>
    </row>
    <row r="29" spans="1:8">
      <c r="A29" s="57"/>
      <c r="D29" s="72"/>
      <c r="E29" s="73"/>
      <c r="G29" s="16"/>
      <c r="H29" s="16"/>
    </row>
    <row r="30" spans="1:8">
      <c r="A30" s="57"/>
      <c r="D30" s="72"/>
      <c r="E30" s="73"/>
      <c r="G30" s="16"/>
      <c r="H30" s="16"/>
    </row>
    <row r="31" spans="1:8">
      <c r="A31" s="57"/>
      <c r="D31" s="72"/>
      <c r="E31" s="73"/>
      <c r="G31" s="16"/>
      <c r="H31" s="16"/>
    </row>
    <row r="32" spans="1:8">
      <c r="A32" s="57"/>
      <c r="D32" s="72"/>
      <c r="E32" s="73"/>
      <c r="G32" s="16"/>
      <c r="H32" s="16"/>
    </row>
    <row r="33" spans="1:8">
      <c r="A33" s="57"/>
      <c r="D33" s="72"/>
      <c r="E33" s="73"/>
      <c r="G33" s="16"/>
      <c r="H33" s="16"/>
    </row>
    <row r="34" spans="1:8" ht="15.75" thickBot="1">
      <c r="A34" s="57"/>
      <c r="G34" s="16"/>
      <c r="H34" s="16"/>
    </row>
    <row r="35" spans="1:8" ht="15.75" thickBot="1">
      <c r="B35" s="68" t="s">
        <v>32</v>
      </c>
      <c r="C35" s="66" t="s">
        <v>63</v>
      </c>
      <c r="G35" s="16"/>
      <c r="H35" s="16"/>
    </row>
    <row r="36" spans="1:8" ht="15.75" thickBot="1">
      <c r="B36" s="69">
        <v>168.08300000000014</v>
      </c>
      <c r="C36" s="67">
        <f>B36*400</f>
        <v>67233.200000000055</v>
      </c>
      <c r="G36" s="16"/>
      <c r="H36" s="16"/>
    </row>
    <row r="37" spans="1:8" ht="15.75" thickBot="1">
      <c r="G37" s="16"/>
      <c r="H37" s="16"/>
    </row>
    <row r="38" spans="1:8">
      <c r="B38" s="3" t="s">
        <v>33</v>
      </c>
      <c r="D38" s="3" t="s">
        <v>34</v>
      </c>
      <c r="G38" s="16"/>
      <c r="H38" s="16"/>
    </row>
    <row r="39" spans="1:8" ht="15.75" thickBot="1">
      <c r="B39" s="4">
        <f>E25</f>
        <v>9.1428614277144575</v>
      </c>
      <c r="D39" s="76">
        <f>E10</f>
        <v>10.881600575958425</v>
      </c>
      <c r="G39" s="16"/>
      <c r="H39" s="16"/>
    </row>
    <row r="40" spans="1:8">
      <c r="B40" s="42"/>
      <c r="C40" s="43"/>
      <c r="D40" s="52"/>
      <c r="G40" s="16"/>
      <c r="H40" s="16"/>
    </row>
    <row r="41" spans="1:8">
      <c r="C41" s="33" t="s">
        <v>7</v>
      </c>
      <c r="D41" s="34">
        <v>0</v>
      </c>
      <c r="E41" s="15" t="s">
        <v>29</v>
      </c>
    </row>
    <row r="42" spans="1:8">
      <c r="C42" s="12" t="s">
        <v>10</v>
      </c>
      <c r="D42" s="24">
        <f>B39*(1+D41)</f>
        <v>9.1428614277144575</v>
      </c>
      <c r="E42" s="15" t="s">
        <v>4</v>
      </c>
    </row>
    <row r="43" spans="1:8">
      <c r="C43" s="12" t="s">
        <v>22</v>
      </c>
      <c r="D43" s="30">
        <f>D68</f>
        <v>7.3574389765884476</v>
      </c>
      <c r="E43" s="15" t="s">
        <v>16</v>
      </c>
    </row>
    <row r="44" spans="1:8">
      <c r="C44" s="58" t="s">
        <v>23</v>
      </c>
      <c r="D44" s="59">
        <v>48</v>
      </c>
      <c r="E44" s="15" t="s">
        <v>28</v>
      </c>
    </row>
    <row r="45" spans="1:8">
      <c r="G45" s="16"/>
      <c r="H45" s="16"/>
    </row>
    <row r="46" spans="1:8" ht="15.75" thickBot="1">
      <c r="B46" s="27" t="s">
        <v>14</v>
      </c>
      <c r="C46" s="16"/>
      <c r="D46" s="16"/>
    </row>
    <row r="47" spans="1:8">
      <c r="B47" s="28" t="s">
        <v>1</v>
      </c>
      <c r="C47" s="29"/>
      <c r="D47" s="36">
        <v>751837.24</v>
      </c>
    </row>
    <row r="48" spans="1:8">
      <c r="B48" s="29" t="s">
        <v>0</v>
      </c>
      <c r="C48" s="35"/>
      <c r="D48" s="37">
        <v>217755.46</v>
      </c>
    </row>
    <row r="49" spans="2:9" ht="19.5" thickBot="1">
      <c r="B49" s="20" t="s">
        <v>12</v>
      </c>
      <c r="C49" s="21"/>
      <c r="D49" s="38">
        <f>SUM(D47:D48)</f>
        <v>969592.7</v>
      </c>
      <c r="E49" s="2"/>
    </row>
    <row r="50" spans="2:9" ht="18.75">
      <c r="B50" s="26" t="s">
        <v>13</v>
      </c>
      <c r="C50" s="39"/>
      <c r="D50" s="41">
        <f>D49*(1+D36)</f>
        <v>969592.7</v>
      </c>
      <c r="E50" s="2"/>
      <c r="F50" s="2"/>
      <c r="G50" s="2"/>
      <c r="H50" s="2"/>
      <c r="I50" s="2"/>
    </row>
    <row r="51" spans="2:9">
      <c r="B51" s="25" t="s">
        <v>6</v>
      </c>
      <c r="C51" s="19"/>
      <c r="D51" s="49">
        <f>D49-D50</f>
        <v>0</v>
      </c>
      <c r="E51" s="32" t="s">
        <v>17</v>
      </c>
      <c r="F51" s="17"/>
      <c r="G51" s="18"/>
      <c r="H51" s="2"/>
      <c r="I51" s="2"/>
    </row>
    <row r="52" spans="2:9">
      <c r="B52" s="11" t="s">
        <v>19</v>
      </c>
      <c r="C52" s="23" t="s">
        <v>20</v>
      </c>
      <c r="D52" s="50">
        <f>D49/B39</f>
        <v>106049.15186190017</v>
      </c>
      <c r="E52" s="15" t="s">
        <v>26</v>
      </c>
      <c r="F52" s="17"/>
      <c r="G52" s="18"/>
      <c r="H52" s="2"/>
      <c r="I52" s="2"/>
    </row>
    <row r="53" spans="2:9">
      <c r="B53" s="6" t="s">
        <v>21</v>
      </c>
      <c r="C53" s="23" t="s">
        <v>20</v>
      </c>
      <c r="D53" s="28">
        <f>D52*D44</f>
        <v>5090359.2893712083</v>
      </c>
      <c r="E53" s="15" t="s">
        <v>27</v>
      </c>
      <c r="F53" s="17"/>
      <c r="G53" s="18"/>
      <c r="H53" s="2"/>
      <c r="I53" s="2"/>
    </row>
    <row r="54" spans="2:9">
      <c r="B54" s="6" t="s">
        <v>21</v>
      </c>
      <c r="C54" s="5" t="s">
        <v>24</v>
      </c>
      <c r="D54" s="51">
        <f>D53*B39</f>
        <v>46540449.599999994</v>
      </c>
      <c r="E54" s="53" t="s">
        <v>25</v>
      </c>
      <c r="F54" s="17"/>
      <c r="G54" s="18"/>
      <c r="H54" s="2"/>
      <c r="I54" s="2"/>
    </row>
    <row r="55" spans="2:9">
      <c r="B55" s="54"/>
      <c r="C55" s="55"/>
      <c r="D55" s="56"/>
      <c r="E55" s="53"/>
      <c r="F55" s="17"/>
      <c r="G55" s="18"/>
      <c r="H55" s="2"/>
      <c r="I55" s="2"/>
    </row>
    <row r="56" spans="2:9">
      <c r="B56" s="8" t="s">
        <v>9</v>
      </c>
      <c r="F56" s="2"/>
      <c r="G56" s="2"/>
      <c r="H56" s="2"/>
      <c r="I56" s="2"/>
    </row>
    <row r="57" spans="2:9">
      <c r="B57" s="11" t="s">
        <v>2</v>
      </c>
      <c r="C57" s="13" t="s">
        <v>3</v>
      </c>
      <c r="D57" s="9">
        <f>D52*1.4</f>
        <v>148468.81260666024</v>
      </c>
    </row>
    <row r="58" spans="2:9">
      <c r="B58" s="10" t="s">
        <v>5</v>
      </c>
      <c r="C58" s="14" t="s">
        <v>35</v>
      </c>
      <c r="D58" s="5">
        <f>D52*D39*0.3</f>
        <v>346195.35359410656</v>
      </c>
    </row>
    <row r="59" spans="2:9">
      <c r="G59" s="16"/>
      <c r="H59" s="16"/>
    </row>
    <row r="60" spans="2:9">
      <c r="B60" s="8" t="s">
        <v>30</v>
      </c>
    </row>
    <row r="61" spans="2:9" ht="18.75">
      <c r="B61" s="20" t="s">
        <v>12</v>
      </c>
      <c r="C61" s="21"/>
      <c r="D61" s="40">
        <f>D49</f>
        <v>969592.7</v>
      </c>
      <c r="E61" s="18" t="s">
        <v>31</v>
      </c>
    </row>
    <row r="62" spans="2:9" ht="18.75">
      <c r="B62" s="26" t="s">
        <v>13</v>
      </c>
      <c r="C62" s="22"/>
      <c r="D62" s="40">
        <f>D50</f>
        <v>969592.7</v>
      </c>
      <c r="E62" s="2"/>
    </row>
    <row r="63" spans="2:9">
      <c r="B63" s="25" t="s">
        <v>18</v>
      </c>
      <c r="C63" s="62" t="s">
        <v>17</v>
      </c>
      <c r="D63" s="47">
        <f>D61-D62</f>
        <v>0</v>
      </c>
    </row>
    <row r="64" spans="2:9">
      <c r="B64" s="60" t="s">
        <v>8</v>
      </c>
      <c r="C64" s="7"/>
      <c r="D64" s="46">
        <f>B39</f>
        <v>9.1428614277144575</v>
      </c>
    </row>
    <row r="65" spans="2:5">
      <c r="B65" s="60" t="s">
        <v>7</v>
      </c>
      <c r="C65" s="63" t="s">
        <v>29</v>
      </c>
      <c r="D65" s="31">
        <f>D41</f>
        <v>0</v>
      </c>
    </row>
    <row r="66" spans="2:5">
      <c r="B66" s="61" t="s">
        <v>10</v>
      </c>
      <c r="C66" s="64" t="s">
        <v>4</v>
      </c>
      <c r="D66" s="44">
        <f>D42</f>
        <v>9.1428614277144575</v>
      </c>
    </row>
    <row r="67" spans="2:5">
      <c r="B67" s="11" t="s">
        <v>15</v>
      </c>
      <c r="C67" s="23"/>
      <c r="D67" s="48">
        <v>21.453324934704863</v>
      </c>
      <c r="E67" s="15" t="s">
        <v>28</v>
      </c>
    </row>
    <row r="68" spans="2:5">
      <c r="B68" s="60" t="s">
        <v>11</v>
      </c>
      <c r="C68" s="65" t="s">
        <v>16</v>
      </c>
      <c r="D68" s="45">
        <f>SUM(D57:D58)/C36</f>
        <v>7.3574389765884476</v>
      </c>
      <c r="E68" s="15"/>
    </row>
  </sheetData>
  <phoneticPr fontId="6" type="noConversion"/>
  <pageMargins left="0.59055118110236227" right="0.39370078740157483" top="0.19685039370078741" bottom="0.19685039370078741" header="0" footer="0.118110236220472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2025-10-24T09:27:06Z</cp:lastPrinted>
  <dcterms:created xsi:type="dcterms:W3CDTF">2025-07-09T13:18:12Z</dcterms:created>
  <dcterms:modified xsi:type="dcterms:W3CDTF">2025-11-20T10:45:11Z</dcterms:modified>
</cp:coreProperties>
</file>