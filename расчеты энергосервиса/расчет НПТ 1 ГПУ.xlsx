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140" windowHeight="12210"/>
  </bookViews>
  <sheets>
    <sheet name="Report" sheetId="1" r:id="rId1"/>
  </sheets>
  <calcPr calcId="114210" calcOnSave="0" concurrentCalc="0"/>
</workbook>
</file>

<file path=xl/calcChain.xml><?xml version="1.0" encoding="utf-8"?>
<calcChain xmlns="http://schemas.openxmlformats.org/spreadsheetml/2006/main">
  <c r="G21" i="1"/>
  <c r="G23"/>
  <c r="G22"/>
  <c r="F55"/>
  <c r="F50"/>
  <c r="F36"/>
  <c r="F49"/>
  <c r="F48"/>
  <c r="E9"/>
  <c r="F30"/>
  <c r="F31"/>
  <c r="F32"/>
  <c r="F69"/>
  <c r="F68"/>
  <c r="F28"/>
  <c r="F66"/>
  <c r="F65"/>
  <c r="F67"/>
  <c r="F37"/>
  <c r="F40"/>
  <c r="F44"/>
  <c r="F71"/>
  <c r="F45"/>
  <c r="F23"/>
  <c r="F72"/>
  <c r="F22"/>
  <c r="F70"/>
  <c r="F54"/>
  <c r="F56"/>
  <c r="F61"/>
  <c r="F29"/>
  <c r="F60"/>
  <c r="F59"/>
  <c r="F51"/>
  <c r="D3"/>
  <c r="D5"/>
</calcChain>
</file>

<file path=xl/sharedStrings.xml><?xml version="1.0" encoding="utf-8"?>
<sst xmlns="http://schemas.openxmlformats.org/spreadsheetml/2006/main" count="83" uniqueCount="71">
  <si>
    <t/>
  </si>
  <si>
    <t>средняя мощность кВт</t>
  </si>
  <si>
    <t>выплата подрядчику</t>
  </si>
  <si>
    <t>итого расходы</t>
  </si>
  <si>
    <t>обслуживание ГПУ</t>
  </si>
  <si>
    <t xml:space="preserve">выплата инвестору </t>
  </si>
  <si>
    <t>1,4р Х кВтЧ</t>
  </si>
  <si>
    <t>макс мощность кВт</t>
  </si>
  <si>
    <t>итого ДОходы</t>
  </si>
  <si>
    <t>расходы на газ на ээ</t>
  </si>
  <si>
    <t>расходы на газ на фермы</t>
  </si>
  <si>
    <t>за месяц х2 фермы х 90кВт</t>
  </si>
  <si>
    <t>разница для заказчика в мес</t>
  </si>
  <si>
    <t>разница на ээ тариф</t>
  </si>
  <si>
    <t>ээ тариф от сети сейчас</t>
  </si>
  <si>
    <t>газ тариф</t>
  </si>
  <si>
    <t>компенсация разницы тарифа</t>
  </si>
  <si>
    <t>тариф от ГПУ на Х 3года</t>
  </si>
  <si>
    <t>тариф от ГПУ после Х 3лет</t>
  </si>
  <si>
    <t>итого расходы НА ээ заказчика</t>
  </si>
  <si>
    <t>реальный тариф без компенсации</t>
  </si>
  <si>
    <t>реальный тариф после выкупа ГПУ</t>
  </si>
  <si>
    <r>
      <t>заказчик</t>
    </r>
    <r>
      <rPr>
        <sz val="14"/>
        <color indexed="8"/>
        <rFont val="Calibri"/>
        <family val="2"/>
        <charset val="204"/>
      </rPr>
      <t xml:space="preserve"> будет</t>
    </r>
    <r>
      <rPr>
        <sz val="11"/>
        <color indexed="8"/>
        <rFont val="Calibri"/>
        <family val="2"/>
      </rPr>
      <t xml:space="preserve"> платить по тарифу от ГПУ</t>
    </r>
  </si>
  <si>
    <t>доход от ферм</t>
  </si>
  <si>
    <t>оценка внешнего эксперта</t>
  </si>
  <si>
    <t>что будет показано заказчику</t>
  </si>
  <si>
    <t>реальный тариф без компенсации от инвестора и подрядчика</t>
  </si>
  <si>
    <t>после выкупа ГПУ</t>
  </si>
  <si>
    <t>инвестору</t>
  </si>
  <si>
    <t>заказчику</t>
  </si>
  <si>
    <t>подрядчику</t>
  </si>
  <si>
    <t>разница между оплатой заказчика по тарифу и</t>
  </si>
  <si>
    <r>
      <t xml:space="preserve">реальным расходом </t>
    </r>
    <r>
      <rPr>
        <b/>
        <sz val="11"/>
        <color indexed="20"/>
        <rFont val="Calibri"/>
        <family val="2"/>
        <charset val="204"/>
      </rPr>
      <t>компенсируется из доходов ферм</t>
    </r>
  </si>
  <si>
    <t>разница для заказчика мес</t>
  </si>
  <si>
    <t>скидка</t>
  </si>
  <si>
    <t>потребление в кВтЧ полное</t>
  </si>
  <si>
    <t>кВтЧ</t>
  </si>
  <si>
    <t>общий объем выкупа ээ</t>
  </si>
  <si>
    <t>тариф от ГПУ после выкупа</t>
  </si>
  <si>
    <t>предварительный срок выкупа(мес)</t>
  </si>
  <si>
    <t>₽</t>
  </si>
  <si>
    <t>НПТ</t>
  </si>
  <si>
    <t>всего кВтЧ</t>
  </si>
  <si>
    <t>сентябрь</t>
  </si>
  <si>
    <t>факт расходы заказчика на ээ (на примере сентября 2025г)</t>
  </si>
  <si>
    <t>план расходов на 3х ГПУ на потребеление заказчика(на примере сентября 2025г)</t>
  </si>
  <si>
    <t>план РАсходов инвестора на 2 фермы(на примере сентября 2025г)</t>
  </si>
  <si>
    <t>план ДОходов на фермы(на примере сентября 2025г)</t>
  </si>
  <si>
    <t>итоговые суммы за месяц(на примере сентября 2025г)</t>
  </si>
  <si>
    <r>
      <t xml:space="preserve">итого заказчик платит сети </t>
    </r>
    <r>
      <rPr>
        <sz val="14"/>
        <color indexed="8"/>
        <rFont val="Calibri"/>
        <family val="2"/>
        <charset val="204"/>
      </rPr>
      <t>сейчас</t>
    </r>
  </si>
  <si>
    <t>все расчеты на основании данных заказчика за сентябрь 2025 года</t>
  </si>
  <si>
    <t>НО + выкуп ГПУ</t>
  </si>
  <si>
    <t>за 1 блок</t>
  </si>
  <si>
    <t>0,3 Х тариф</t>
  </si>
  <si>
    <t>с скидкой</t>
  </si>
  <si>
    <t>НО + выкуп 1 х ГПУ</t>
  </si>
  <si>
    <t>со скидкой</t>
  </si>
  <si>
    <t>кол-во ферм</t>
  </si>
  <si>
    <t>обслуживание ферм</t>
  </si>
  <si>
    <t>цена обслуживания 1 фермы в месяц</t>
  </si>
  <si>
    <t>мощность 1 фермы, кВт</t>
  </si>
  <si>
    <t>0,3м3х мощность ферм х газ х24ч х30дней</t>
  </si>
  <si>
    <t>цена обслуживания ГПУ за кВтЧ</t>
  </si>
  <si>
    <t>в месяц</t>
  </si>
  <si>
    <t>и + ГПУ через 3 года</t>
  </si>
  <si>
    <r>
      <t xml:space="preserve">итогозаказчик платит сети </t>
    </r>
    <r>
      <rPr>
        <sz val="14"/>
        <color indexed="8"/>
        <rFont val="Calibri"/>
        <family val="2"/>
        <charset val="204"/>
      </rPr>
      <t>сейчас</t>
    </r>
  </si>
  <si>
    <t>после выкупа ГПУ, с обслуживанием</t>
  </si>
  <si>
    <t>за все фермы</t>
  </si>
  <si>
    <t>доход от 1 фермы</t>
  </si>
  <si>
    <t>назначенные</t>
  </si>
  <si>
    <t>по себестоимости</t>
  </si>
</sst>
</file>

<file path=xl/styles.xml><?xml version="1.0" encoding="utf-8"?>
<styleSheet xmlns="http://schemas.openxmlformats.org/spreadsheetml/2006/main">
  <numFmts count="7">
    <numFmt numFmtId="43" formatCode="_-* #,##0.00\ _₽_-;\-* #,##0.00\ _₽_-;_-* &quot;-&quot;??\ _₽_-;_-@_-"/>
    <numFmt numFmtId="165" formatCode="_-* #,##0.000\ _₽_-;\-* #,##0.000\ _₽_-;_-* &quot;-&quot;??\ _₽_-;_-@_-"/>
    <numFmt numFmtId="168" formatCode="_-* #,##0.0\ _₽_-;\-* #,##0.0\ _₽_-;_-* &quot;-&quot;??\ _₽_-;_-@_-"/>
    <numFmt numFmtId="169" formatCode="_-* #,##0\ _₽_-;\-* #,##0\ _₽_-;_-* &quot;-&quot;??\ _₽_-;_-@_-"/>
    <numFmt numFmtId="170" formatCode="0.0"/>
    <numFmt numFmtId="171" formatCode="#,##0\ &quot;₽&quot;"/>
    <numFmt numFmtId="173" formatCode="#,##0.0\ &quot;₽&quot;"/>
  </numFmts>
  <fonts count="32"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  <charset val="204"/>
    </font>
    <font>
      <i/>
      <sz val="11"/>
      <color indexed="8"/>
      <name val="Calibri"/>
      <family val="2"/>
      <charset val="204"/>
    </font>
    <font>
      <b/>
      <i/>
      <sz val="11"/>
      <color indexed="8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i/>
      <sz val="11"/>
      <color indexed="57"/>
      <name val="Calibri"/>
      <family val="2"/>
      <charset val="204"/>
    </font>
    <font>
      <b/>
      <i/>
      <sz val="11"/>
      <color indexed="52"/>
      <name val="Calibri"/>
      <family val="2"/>
      <charset val="204"/>
    </font>
    <font>
      <b/>
      <sz val="11"/>
      <color indexed="17"/>
      <name val="Calibri"/>
      <family val="2"/>
      <charset val="204"/>
    </font>
    <font>
      <b/>
      <sz val="11"/>
      <color indexed="53"/>
      <name val="Calibri"/>
      <family val="2"/>
      <charset val="204"/>
    </font>
    <font>
      <sz val="11"/>
      <color indexed="12"/>
      <name val="Calibri"/>
      <family val="2"/>
    </font>
    <font>
      <sz val="14"/>
      <color indexed="8"/>
      <name val="Calibri"/>
      <family val="2"/>
      <charset val="204"/>
    </font>
    <font>
      <b/>
      <sz val="11"/>
      <color indexed="12"/>
      <name val="Calibri"/>
      <family val="2"/>
      <charset val="204"/>
    </font>
    <font>
      <b/>
      <sz val="11"/>
      <color indexed="60"/>
      <name val="Calibri"/>
      <family val="2"/>
      <charset val="204"/>
    </font>
    <font>
      <b/>
      <sz val="11"/>
      <color indexed="20"/>
      <name val="Calibri"/>
      <family val="2"/>
      <charset val="204"/>
    </font>
    <font>
      <b/>
      <i/>
      <sz val="11"/>
      <color indexed="17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4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0"/>
      <name val="Arial"/>
      <family val="2"/>
      <charset val="204"/>
    </font>
    <font>
      <sz val="12"/>
      <color indexed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10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right" vertical="top" wrapText="1"/>
    </xf>
    <xf numFmtId="0" fontId="0" fillId="0" borderId="0" xfId="0" applyNumberFormat="1"/>
    <xf numFmtId="165" fontId="0" fillId="0" borderId="0" xfId="1" applyNumberFormat="1" applyFont="1"/>
    <xf numFmtId="0" fontId="0" fillId="0" borderId="2" xfId="0" applyBorder="1"/>
    <xf numFmtId="0" fontId="0" fillId="0" borderId="0" xfId="0" applyFill="1" applyBorder="1"/>
    <xf numFmtId="165" fontId="5" fillId="0" borderId="0" xfId="1" applyNumberFormat="1" applyFont="1" applyBorder="1" applyAlignment="1">
      <alignment horizontal="right" vertical="top" wrapText="1"/>
    </xf>
    <xf numFmtId="0" fontId="3" fillId="0" borderId="3" xfId="0" applyNumberFormat="1" applyFont="1" applyBorder="1" applyAlignment="1">
      <alignment horizontal="right" vertical="top" wrapText="1"/>
    </xf>
    <xf numFmtId="165" fontId="5" fillId="0" borderId="4" xfId="1" applyNumberFormat="1" applyFont="1" applyBorder="1" applyAlignment="1">
      <alignment horizontal="right" vertical="top" wrapText="1"/>
    </xf>
    <xf numFmtId="0" fontId="6" fillId="2" borderId="3" xfId="0" applyNumberFormat="1" applyFont="1" applyFill="1" applyBorder="1" applyAlignment="1">
      <alignment horizontal="left" vertical="top" wrapText="1"/>
    </xf>
    <xf numFmtId="0" fontId="0" fillId="3" borderId="5" xfId="0" applyNumberFormat="1" applyFill="1" applyBorder="1"/>
    <xf numFmtId="165" fontId="0" fillId="4" borderId="5" xfId="1" applyNumberFormat="1" applyFont="1" applyFill="1" applyBorder="1"/>
    <xf numFmtId="169" fontId="0" fillId="4" borderId="6" xfId="1" applyNumberFormat="1" applyFont="1" applyFill="1" applyBorder="1"/>
    <xf numFmtId="169" fontId="0" fillId="3" borderId="7" xfId="1" applyNumberFormat="1" applyFont="1" applyFill="1" applyBorder="1"/>
    <xf numFmtId="0" fontId="0" fillId="4" borderId="5" xfId="0" applyFill="1" applyBorder="1"/>
    <xf numFmtId="170" fontId="11" fillId="4" borderId="6" xfId="0" applyNumberFormat="1" applyFont="1" applyFill="1" applyBorder="1"/>
    <xf numFmtId="171" fontId="0" fillId="0" borderId="8" xfId="0" applyNumberFormat="1" applyBorder="1"/>
    <xf numFmtId="165" fontId="0" fillId="0" borderId="8" xfId="1" applyNumberFormat="1" applyFont="1" applyBorder="1"/>
    <xf numFmtId="0" fontId="0" fillId="0" borderId="8" xfId="0" applyBorder="1"/>
    <xf numFmtId="165" fontId="13" fillId="0" borderId="0" xfId="1" applyNumberFormat="1" applyFont="1"/>
    <xf numFmtId="171" fontId="0" fillId="0" borderId="9" xfId="0" applyNumberFormat="1" applyBorder="1"/>
    <xf numFmtId="165" fontId="0" fillId="0" borderId="10" xfId="1" applyNumberFormat="1" applyFont="1" applyBorder="1"/>
    <xf numFmtId="0" fontId="0" fillId="0" borderId="10" xfId="0" applyBorder="1"/>
    <xf numFmtId="165" fontId="0" fillId="0" borderId="11" xfId="1" applyNumberFormat="1" applyFont="1" applyBorder="1"/>
    <xf numFmtId="165" fontId="15" fillId="0" borderId="0" xfId="1" applyNumberFormat="1" applyFont="1"/>
    <xf numFmtId="0" fontId="0" fillId="5" borderId="11" xfId="0" applyFill="1" applyBorder="1"/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8" xfId="0" applyBorder="1" applyAlignment="1">
      <alignment horizontal="left"/>
    </xf>
    <xf numFmtId="165" fontId="16" fillId="0" borderId="0" xfId="1" applyNumberFormat="1" applyFont="1"/>
    <xf numFmtId="0" fontId="12" fillId="0" borderId="0" xfId="0" applyFont="1"/>
    <xf numFmtId="171" fontId="17" fillId="0" borderId="8" xfId="0" applyNumberFormat="1" applyFont="1" applyBorder="1"/>
    <xf numFmtId="171" fontId="18" fillId="0" borderId="8" xfId="0" applyNumberFormat="1" applyFont="1" applyBorder="1"/>
    <xf numFmtId="171" fontId="19" fillId="0" borderId="8" xfId="0" applyNumberFormat="1" applyFont="1" applyBorder="1"/>
    <xf numFmtId="0" fontId="0" fillId="0" borderId="0" xfId="0" applyBorder="1"/>
    <xf numFmtId="171" fontId="22" fillId="0" borderId="0" xfId="0" applyNumberFormat="1" applyFont="1" applyFill="1" applyBorder="1"/>
    <xf numFmtId="0" fontId="12" fillId="0" borderId="0" xfId="0" applyFont="1" applyFill="1" applyBorder="1"/>
    <xf numFmtId="0" fontId="0" fillId="0" borderId="12" xfId="0" applyBorder="1"/>
    <xf numFmtId="0" fontId="0" fillId="0" borderId="13" xfId="0" applyFill="1" applyBorder="1"/>
    <xf numFmtId="0" fontId="0" fillId="0" borderId="14" xfId="0" applyFill="1" applyBorder="1"/>
    <xf numFmtId="9" fontId="10" fillId="0" borderId="9" xfId="0" applyNumberFormat="1" applyFont="1" applyBorder="1" applyAlignment="1">
      <alignment horizontal="left"/>
    </xf>
    <xf numFmtId="165" fontId="0" fillId="0" borderId="8" xfId="1" applyNumberFormat="1" applyFont="1" applyBorder="1" applyAlignment="1">
      <alignment wrapText="1"/>
    </xf>
    <xf numFmtId="0" fontId="0" fillId="0" borderId="9" xfId="0" applyBorder="1"/>
    <xf numFmtId="0" fontId="12" fillId="5" borderId="13" xfId="0" applyFont="1" applyFill="1" applyBorder="1"/>
    <xf numFmtId="0" fontId="0" fillId="5" borderId="15" xfId="0" applyFill="1" applyBorder="1"/>
    <xf numFmtId="170" fontId="11" fillId="5" borderId="16" xfId="0" applyNumberFormat="1" applyFont="1" applyFill="1" applyBorder="1"/>
    <xf numFmtId="171" fontId="14" fillId="5" borderId="8" xfId="0" applyNumberFormat="1" applyFont="1" applyFill="1" applyBorder="1"/>
    <xf numFmtId="170" fontId="11" fillId="0" borderId="9" xfId="0" applyNumberFormat="1" applyFont="1" applyBorder="1"/>
    <xf numFmtId="170" fontId="17" fillId="0" borderId="9" xfId="0" applyNumberFormat="1" applyFont="1" applyBorder="1"/>
    <xf numFmtId="171" fontId="23" fillId="0" borderId="8" xfId="0" applyNumberFormat="1" applyFont="1" applyBorder="1"/>
    <xf numFmtId="0" fontId="24" fillId="0" borderId="0" xfId="0" applyFont="1" applyFill="1" applyBorder="1"/>
    <xf numFmtId="0" fontId="2" fillId="0" borderId="15" xfId="0" applyFont="1" applyBorder="1"/>
    <xf numFmtId="0" fontId="0" fillId="0" borderId="11" xfId="0" applyBorder="1" applyAlignment="1"/>
    <xf numFmtId="165" fontId="26" fillId="0" borderId="0" xfId="1" applyNumberFormat="1" applyFont="1"/>
    <xf numFmtId="0" fontId="13" fillId="0" borderId="0" xfId="0" applyFont="1" applyBorder="1"/>
    <xf numFmtId="170" fontId="17" fillId="5" borderId="8" xfId="0" applyNumberFormat="1" applyFont="1" applyFill="1" applyBorder="1"/>
    <xf numFmtId="0" fontId="0" fillId="0" borderId="2" xfId="0" applyNumberFormat="1" applyBorder="1"/>
    <xf numFmtId="165" fontId="0" fillId="0" borderId="2" xfId="1" applyNumberFormat="1" applyFont="1" applyBorder="1"/>
    <xf numFmtId="0" fontId="0" fillId="0" borderId="11" xfId="0" applyFill="1" applyBorder="1"/>
    <xf numFmtId="9" fontId="0" fillId="0" borderId="8" xfId="0" applyNumberFormat="1" applyFill="1" applyBorder="1"/>
    <xf numFmtId="0" fontId="0" fillId="0" borderId="9" xfId="0" applyFill="1" applyBorder="1"/>
    <xf numFmtId="0" fontId="0" fillId="0" borderId="15" xfId="0" applyFill="1" applyBorder="1"/>
    <xf numFmtId="0" fontId="2" fillId="0" borderId="9" xfId="0" applyFont="1" applyBorder="1"/>
    <xf numFmtId="0" fontId="2" fillId="0" borderId="0" xfId="0" applyFont="1" applyFill="1"/>
    <xf numFmtId="0" fontId="25" fillId="0" borderId="0" xfId="0" applyFont="1" applyFill="1" applyBorder="1"/>
    <xf numFmtId="0" fontId="0" fillId="5" borderId="17" xfId="0" applyFill="1" applyBorder="1"/>
    <xf numFmtId="9" fontId="10" fillId="0" borderId="18" xfId="0" applyNumberFormat="1" applyFont="1" applyBorder="1" applyAlignment="1">
      <alignment horizontal="left"/>
    </xf>
    <xf numFmtId="171" fontId="27" fillId="0" borderId="8" xfId="0" applyNumberFormat="1" applyFont="1" applyBorder="1"/>
    <xf numFmtId="171" fontId="26" fillId="0" borderId="8" xfId="0" applyNumberFormat="1" applyFont="1" applyFill="1" applyBorder="1"/>
    <xf numFmtId="0" fontId="2" fillId="0" borderId="0" xfId="0" applyFont="1"/>
    <xf numFmtId="165" fontId="28" fillId="0" borderId="0" xfId="1" applyNumberFormat="1" applyFont="1"/>
    <xf numFmtId="165" fontId="2" fillId="0" borderId="0" xfId="1" applyNumberFormat="1" applyFont="1"/>
    <xf numFmtId="43" fontId="0" fillId="0" borderId="4" xfId="1" applyNumberFormat="1" applyFont="1" applyBorder="1"/>
    <xf numFmtId="0" fontId="0" fillId="5" borderId="0" xfId="0" applyFill="1" applyBorder="1"/>
    <xf numFmtId="0" fontId="0" fillId="5" borderId="0" xfId="0" applyFill="1"/>
    <xf numFmtId="0" fontId="0" fillId="0" borderId="12" xfId="0" applyFill="1" applyBorder="1"/>
    <xf numFmtId="170" fontId="11" fillId="0" borderId="0" xfId="0" applyNumberFormat="1" applyFont="1" applyFill="1" applyBorder="1"/>
    <xf numFmtId="0" fontId="0" fillId="0" borderId="0" xfId="0" applyFill="1"/>
    <xf numFmtId="0" fontId="21" fillId="0" borderId="0" xfId="0" applyFont="1" applyFill="1" applyBorder="1"/>
    <xf numFmtId="173" fontId="18" fillId="0" borderId="8" xfId="0" applyNumberFormat="1" applyFont="1" applyFill="1" applyBorder="1"/>
    <xf numFmtId="173" fontId="17" fillId="0" borderId="8" xfId="0" applyNumberFormat="1" applyFont="1" applyFill="1" applyBorder="1"/>
    <xf numFmtId="173" fontId="26" fillId="0" borderId="8" xfId="0" applyNumberFormat="1" applyFont="1" applyBorder="1"/>
    <xf numFmtId="171" fontId="22" fillId="0" borderId="8" xfId="0" applyNumberFormat="1" applyFont="1" applyFill="1" applyBorder="1"/>
    <xf numFmtId="173" fontId="11" fillId="0" borderId="8" xfId="0" applyNumberFormat="1" applyFont="1" applyBorder="1"/>
    <xf numFmtId="170" fontId="0" fillId="0" borderId="0" xfId="0" applyNumberFormat="1"/>
    <xf numFmtId="1" fontId="26" fillId="5" borderId="0" xfId="0" applyNumberFormat="1" applyFont="1" applyFill="1" applyBorder="1"/>
    <xf numFmtId="165" fontId="0" fillId="0" borderId="0" xfId="1" applyNumberFormat="1" applyFont="1" applyBorder="1"/>
    <xf numFmtId="171" fontId="0" fillId="0" borderId="0" xfId="0" applyNumberFormat="1" applyBorder="1"/>
    <xf numFmtId="171" fontId="29" fillId="0" borderId="0" xfId="0" applyNumberFormat="1" applyFont="1" applyBorder="1"/>
    <xf numFmtId="0" fontId="30" fillId="6" borderId="1" xfId="0" applyFont="1" applyFill="1" applyBorder="1" applyAlignment="1">
      <alignment horizontal="left" vertical="top" wrapText="1"/>
    </xf>
    <xf numFmtId="170" fontId="21" fillId="4" borderId="6" xfId="0" applyNumberFormat="1" applyFont="1" applyFill="1" applyBorder="1"/>
    <xf numFmtId="171" fontId="1" fillId="0" borderId="8" xfId="0" applyNumberFormat="1" applyFont="1" applyBorder="1" applyAlignment="1">
      <alignment horizontal="right" vertical="center"/>
    </xf>
    <xf numFmtId="171" fontId="27" fillId="0" borderId="19" xfId="0" applyNumberFormat="1" applyFont="1" applyFill="1" applyBorder="1" applyAlignment="1">
      <alignment horizontal="right"/>
    </xf>
    <xf numFmtId="171" fontId="22" fillId="0" borderId="7" xfId="0" applyNumberFormat="1" applyFont="1" applyFill="1" applyBorder="1" applyAlignment="1">
      <alignment horizontal="right"/>
    </xf>
    <xf numFmtId="169" fontId="0" fillId="0" borderId="8" xfId="1" applyNumberFormat="1" applyFont="1" applyBorder="1" applyAlignment="1">
      <alignment horizontal="right"/>
    </xf>
    <xf numFmtId="169" fontId="0" fillId="0" borderId="8" xfId="0" applyNumberFormat="1" applyBorder="1" applyAlignment="1">
      <alignment horizontal="right"/>
    </xf>
    <xf numFmtId="171" fontId="29" fillId="0" borderId="8" xfId="0" applyNumberFormat="1" applyFont="1" applyBorder="1" applyAlignment="1">
      <alignment horizontal="right"/>
    </xf>
    <xf numFmtId="0" fontId="0" fillId="0" borderId="8" xfId="0" applyFill="1" applyBorder="1"/>
    <xf numFmtId="173" fontId="1" fillId="0" borderId="8" xfId="0" applyNumberFormat="1" applyFont="1" applyBorder="1" applyAlignment="1">
      <alignment horizontal="right" vertical="center"/>
    </xf>
    <xf numFmtId="165" fontId="5" fillId="0" borderId="20" xfId="1" applyNumberFormat="1" applyFont="1" applyBorder="1" applyAlignment="1">
      <alignment horizontal="right" vertical="top" wrapText="1"/>
    </xf>
    <xf numFmtId="168" fontId="7" fillId="2" borderId="4" xfId="1" applyNumberFormat="1" applyFont="1" applyFill="1" applyBorder="1" applyAlignment="1">
      <alignment horizontal="right" vertical="top" wrapText="1"/>
    </xf>
    <xf numFmtId="165" fontId="5" fillId="5" borderId="5" xfId="1" applyNumberFormat="1" applyFont="1" applyFill="1" applyBorder="1" applyAlignment="1">
      <alignment horizontal="right" vertical="top" wrapText="1"/>
    </xf>
    <xf numFmtId="169" fontId="31" fillId="5" borderId="21" xfId="1" applyNumberFormat="1" applyFont="1" applyFill="1" applyBorder="1" applyAlignment="1">
      <alignment horizontal="center" vertical="center"/>
    </xf>
    <xf numFmtId="9" fontId="0" fillId="5" borderId="22" xfId="0" applyNumberFormat="1" applyFill="1" applyBorder="1"/>
    <xf numFmtId="0" fontId="0" fillId="0" borderId="23" xfId="0" applyBorder="1"/>
    <xf numFmtId="9" fontId="0" fillId="0" borderId="22" xfId="0" applyNumberFormat="1" applyFill="1" applyBorder="1"/>
    <xf numFmtId="170" fontId="11" fillId="0" borderId="0" xfId="0" applyNumberFormat="1" applyFont="1"/>
    <xf numFmtId="1" fontId="26" fillId="0" borderId="0" xfId="0" applyNumberFormat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topLeftCell="A4" workbookViewId="0">
      <selection activeCell="I28" sqref="I28"/>
    </sheetView>
  </sheetViews>
  <sheetFormatPr defaultRowHeight="15"/>
  <cols>
    <col min="1" max="1" width="10.28515625" customWidth="1"/>
    <col min="2" max="2" width="5.7109375" style="4" customWidth="1"/>
    <col min="3" max="3" width="7.5703125" style="5" customWidth="1"/>
    <col min="4" max="4" width="26.85546875" style="5" customWidth="1"/>
    <col min="5" max="5" width="35.28515625" customWidth="1"/>
    <col min="6" max="6" width="14.42578125" customWidth="1"/>
    <col min="7" max="7" width="9.140625" customWidth="1"/>
    <col min="8" max="8" width="19.28515625" customWidth="1"/>
    <col min="9" max="9" width="19.140625" customWidth="1"/>
    <col min="10" max="10" width="4.7109375" customWidth="1"/>
    <col min="11" max="11" width="11" customWidth="1"/>
  </cols>
  <sheetData>
    <row r="1" spans="1:7" ht="15.75" thickBot="1">
      <c r="A1" s="91" t="s">
        <v>41</v>
      </c>
      <c r="B1" s="9"/>
      <c r="C1" s="8"/>
      <c r="D1" s="5" t="s">
        <v>43</v>
      </c>
    </row>
    <row r="2" spans="1:7" ht="15.75" thickBot="1">
      <c r="A2" s="1"/>
      <c r="B2" s="9"/>
      <c r="C2" s="8"/>
      <c r="D2" s="12" t="s">
        <v>1</v>
      </c>
    </row>
    <row r="3" spans="1:7" ht="15.75" thickBot="1">
      <c r="A3" s="1"/>
      <c r="B3" s="9"/>
      <c r="C3" s="74"/>
      <c r="D3" s="15">
        <f>C3*400</f>
        <v>0</v>
      </c>
    </row>
    <row r="4" spans="1:7" ht="15.75" thickBot="1">
      <c r="A4" s="1"/>
      <c r="B4" s="9"/>
      <c r="C4" s="8"/>
      <c r="D4" s="13" t="s">
        <v>7</v>
      </c>
    </row>
    <row r="5" spans="1:7" ht="15.75" thickBot="1">
      <c r="A5" s="1"/>
      <c r="B5" s="9"/>
      <c r="C5" s="10"/>
      <c r="D5" s="14">
        <f>C5*400</f>
        <v>0</v>
      </c>
    </row>
    <row r="6" spans="1:7" ht="15.75" thickBot="1">
      <c r="A6" s="1"/>
      <c r="B6" s="3"/>
      <c r="C6" s="101"/>
      <c r="D6" s="103" t="s">
        <v>42</v>
      </c>
    </row>
    <row r="7" spans="1:7" ht="16.5" thickBot="1">
      <c r="A7" s="2" t="s">
        <v>0</v>
      </c>
      <c r="B7" s="11" t="s">
        <v>0</v>
      </c>
      <c r="C7" s="102"/>
      <c r="D7" s="104">
        <v>97483</v>
      </c>
    </row>
    <row r="8" spans="1:7">
      <c r="E8" s="16" t="s">
        <v>14</v>
      </c>
      <c r="G8" s="16" t="s">
        <v>15</v>
      </c>
    </row>
    <row r="9" spans="1:7" ht="15.75" thickBot="1">
      <c r="E9" s="17">
        <f>F27/D7</f>
        <v>11.455799985638521</v>
      </c>
      <c r="G9" s="92">
        <v>10.692874706008125</v>
      </c>
    </row>
    <row r="10" spans="1:7">
      <c r="E10" s="78"/>
      <c r="F10" s="79"/>
      <c r="G10" s="80"/>
    </row>
    <row r="11" spans="1:7">
      <c r="E11" s="99" t="s">
        <v>57</v>
      </c>
      <c r="F11" s="20"/>
      <c r="G11" s="80"/>
    </row>
    <row r="12" spans="1:7">
      <c r="E12" s="99" t="s">
        <v>60</v>
      </c>
      <c r="F12" s="20">
        <v>90</v>
      </c>
      <c r="G12" s="80"/>
    </row>
    <row r="13" spans="1:7">
      <c r="E13" s="99" t="s">
        <v>59</v>
      </c>
      <c r="F13" s="93">
        <v>50000</v>
      </c>
      <c r="G13" s="80"/>
    </row>
    <row r="14" spans="1:7">
      <c r="E14" s="19" t="s">
        <v>68</v>
      </c>
      <c r="F14" s="18">
        <v>390000</v>
      </c>
      <c r="G14" s="32" t="s">
        <v>24</v>
      </c>
    </row>
    <row r="15" spans="1:7">
      <c r="E15" s="7" t="s">
        <v>62</v>
      </c>
      <c r="F15" s="100">
        <v>1.4</v>
      </c>
      <c r="G15" s="80"/>
    </row>
    <row r="16" spans="1:7">
      <c r="E16" s="79"/>
      <c r="G16" s="80"/>
    </row>
    <row r="17" spans="3:11">
      <c r="E17" s="78"/>
      <c r="F17" s="79"/>
      <c r="G17" s="80"/>
    </row>
    <row r="18" spans="3:11">
      <c r="E18" s="78"/>
      <c r="F18" s="79"/>
      <c r="G18" s="80"/>
    </row>
    <row r="19" spans="3:11" ht="19.5" thickBot="1">
      <c r="C19" s="73"/>
      <c r="D19" s="72" t="s">
        <v>50</v>
      </c>
      <c r="E19" s="71"/>
    </row>
    <row r="20" spans="3:11" ht="19.5" thickBot="1">
      <c r="C20" s="73"/>
      <c r="D20" s="72"/>
      <c r="E20" s="71"/>
      <c r="F20" s="106" t="s">
        <v>69</v>
      </c>
      <c r="G20" t="s">
        <v>70</v>
      </c>
    </row>
    <row r="21" spans="3:11">
      <c r="E21" s="67" t="s">
        <v>13</v>
      </c>
      <c r="F21" s="105">
        <v>-0.2</v>
      </c>
      <c r="G21" s="107">
        <f>1-G22/E9</f>
        <v>0.15004086517478399</v>
      </c>
      <c r="H21" s="32" t="s">
        <v>34</v>
      </c>
    </row>
    <row r="22" spans="3:11">
      <c r="E22" s="27" t="s">
        <v>17</v>
      </c>
      <c r="F22" s="47">
        <f>E9*(1+F21)</f>
        <v>9.1646399885108174</v>
      </c>
      <c r="G22" s="108">
        <f>F40/D7</f>
        <v>9.7369618445240391</v>
      </c>
      <c r="H22" s="32" t="s">
        <v>54</v>
      </c>
    </row>
    <row r="23" spans="3:11">
      <c r="E23" s="27" t="s">
        <v>38</v>
      </c>
      <c r="F23" s="57">
        <f>F45</f>
        <v>4.6078624118024365</v>
      </c>
      <c r="G23" s="86">
        <f>F23</f>
        <v>4.6078624118024365</v>
      </c>
      <c r="H23" s="32" t="s">
        <v>27</v>
      </c>
    </row>
    <row r="24" spans="3:11">
      <c r="E24" s="75" t="s">
        <v>39</v>
      </c>
      <c r="F24" s="87">
        <v>36</v>
      </c>
      <c r="G24" s="109">
        <v>36</v>
      </c>
    </row>
    <row r="26" spans="3:11">
      <c r="D26" s="56" t="s">
        <v>44</v>
      </c>
      <c r="E26" s="36"/>
      <c r="F26" s="36"/>
    </row>
    <row r="27" spans="3:11" ht="19.5" thickBot="1">
      <c r="D27" s="40" t="s">
        <v>49</v>
      </c>
      <c r="E27" s="41"/>
      <c r="F27" s="93">
        <v>1116745.75</v>
      </c>
      <c r="G27" s="7"/>
    </row>
    <row r="28" spans="3:11" ht="18.75">
      <c r="D28" s="54" t="s">
        <v>22</v>
      </c>
      <c r="E28" s="68"/>
      <c r="F28" s="94">
        <f>F27*(1+F21)</f>
        <v>893396.60000000009</v>
      </c>
      <c r="G28" s="7"/>
      <c r="H28" s="7"/>
      <c r="I28" s="7"/>
      <c r="J28" s="7"/>
      <c r="K28" s="7"/>
    </row>
    <row r="29" spans="3:11">
      <c r="D29" s="53" t="s">
        <v>12</v>
      </c>
      <c r="E29" s="39"/>
      <c r="F29" s="95">
        <f>F27-F28</f>
        <v>223349.14999999991</v>
      </c>
      <c r="G29" s="66" t="s">
        <v>51</v>
      </c>
      <c r="H29" s="37"/>
      <c r="I29" s="38"/>
      <c r="J29" s="7"/>
      <c r="K29" s="7"/>
    </row>
    <row r="30" spans="3:11">
      <c r="D30" s="25" t="s">
        <v>35</v>
      </c>
      <c r="E30" s="44" t="s">
        <v>36</v>
      </c>
      <c r="F30" s="96">
        <f>F27/E9</f>
        <v>97483</v>
      </c>
      <c r="H30" s="37"/>
      <c r="I30" s="38"/>
      <c r="J30" s="7"/>
      <c r="K30" s="7"/>
    </row>
    <row r="31" spans="3:11">
      <c r="D31" s="19" t="s">
        <v>37</v>
      </c>
      <c r="E31" s="44" t="s">
        <v>36</v>
      </c>
      <c r="F31" s="97">
        <f>F30*F24</f>
        <v>3509388</v>
      </c>
      <c r="H31" s="37"/>
      <c r="I31" s="38"/>
      <c r="J31" s="7"/>
      <c r="K31" s="7"/>
    </row>
    <row r="32" spans="3:11">
      <c r="D32" s="19" t="s">
        <v>37</v>
      </c>
      <c r="E32" s="18" t="s">
        <v>40</v>
      </c>
      <c r="F32" s="98">
        <f>F31*E9</f>
        <v>40202847</v>
      </c>
      <c r="G32" s="36"/>
      <c r="H32" s="37"/>
      <c r="I32" s="38"/>
      <c r="J32" s="7"/>
      <c r="K32" s="7"/>
    </row>
    <row r="33" spans="4:11">
      <c r="D33" s="88"/>
      <c r="E33" s="89"/>
      <c r="F33" s="90"/>
      <c r="G33" s="36"/>
      <c r="H33" s="37"/>
      <c r="I33" s="38"/>
      <c r="J33" s="7"/>
      <c r="K33" s="7"/>
    </row>
    <row r="34" spans="4:11">
      <c r="H34" s="37"/>
      <c r="I34" s="38"/>
      <c r="J34" s="7"/>
      <c r="K34" s="7"/>
    </row>
    <row r="35" spans="4:11">
      <c r="D35" s="21" t="s">
        <v>45</v>
      </c>
      <c r="H35" s="7"/>
      <c r="I35" s="7"/>
      <c r="J35" s="7"/>
      <c r="K35" s="7"/>
    </row>
    <row r="36" spans="4:11">
      <c r="D36" s="25" t="s">
        <v>4</v>
      </c>
      <c r="E36" s="28" t="s">
        <v>63</v>
      </c>
      <c r="F36" s="22">
        <f>D7*F15</f>
        <v>136476.19999999998</v>
      </c>
    </row>
    <row r="37" spans="4:11">
      <c r="D37" s="23" t="s">
        <v>9</v>
      </c>
      <c r="E37" s="29" t="s">
        <v>53</v>
      </c>
      <c r="F37" s="18">
        <f>D7*0.3*G9</f>
        <v>312712.051489737</v>
      </c>
    </row>
    <row r="38" spans="4:11">
      <c r="D38" s="19" t="s">
        <v>5</v>
      </c>
      <c r="E38" s="28" t="s">
        <v>52</v>
      </c>
      <c r="F38" s="18">
        <v>250000</v>
      </c>
    </row>
    <row r="39" spans="4:11">
      <c r="D39" s="19" t="s">
        <v>2</v>
      </c>
      <c r="E39" s="28" t="s">
        <v>52</v>
      </c>
      <c r="F39" s="18">
        <v>250000</v>
      </c>
    </row>
    <row r="40" spans="4:11">
      <c r="E40" s="19" t="s">
        <v>19</v>
      </c>
      <c r="F40" s="48">
        <f>SUM(F36:F39)</f>
        <v>949188.25148973695</v>
      </c>
      <c r="H40" s="7"/>
      <c r="I40" s="7"/>
      <c r="J40" s="7"/>
    </row>
    <row r="41" spans="4:11">
      <c r="F41" s="45" t="s">
        <v>31</v>
      </c>
      <c r="G41" s="76"/>
      <c r="H41" s="75"/>
      <c r="I41" s="7"/>
      <c r="J41" s="7"/>
    </row>
    <row r="42" spans="4:11">
      <c r="F42" s="46" t="s">
        <v>32</v>
      </c>
      <c r="G42" s="75"/>
      <c r="H42" s="75"/>
      <c r="I42" s="7"/>
      <c r="J42" s="7"/>
    </row>
    <row r="43" spans="4:11">
      <c r="F43" s="77"/>
      <c r="G43" s="7"/>
      <c r="H43" s="7"/>
      <c r="I43" s="7"/>
      <c r="J43" s="7"/>
    </row>
    <row r="44" spans="4:11">
      <c r="E44" s="25" t="s">
        <v>20</v>
      </c>
      <c r="F44" s="49">
        <f>F40/D7</f>
        <v>9.7369618445240391</v>
      </c>
    </row>
    <row r="45" spans="4:11">
      <c r="E45" s="25" t="s">
        <v>21</v>
      </c>
      <c r="F45" s="50">
        <f>SUM(F36:F37)/D7</f>
        <v>4.6078624118024365</v>
      </c>
    </row>
    <row r="46" spans="4:11">
      <c r="E46" s="5"/>
    </row>
    <row r="47" spans="4:11">
      <c r="D47" s="31" t="s">
        <v>46</v>
      </c>
    </row>
    <row r="48" spans="4:11">
      <c r="D48" s="25" t="s">
        <v>58</v>
      </c>
      <c r="E48" s="20" t="s">
        <v>11</v>
      </c>
      <c r="F48" s="22">
        <f>F11*F13</f>
        <v>0</v>
      </c>
    </row>
    <row r="49" spans="1:10">
      <c r="D49" s="23" t="s">
        <v>10</v>
      </c>
      <c r="E49" s="24" t="s">
        <v>61</v>
      </c>
      <c r="F49" s="18">
        <f>0.3*F12*F11*G9*24*30</f>
        <v>0</v>
      </c>
    </row>
    <row r="50" spans="1:10">
      <c r="D50" s="25" t="s">
        <v>4</v>
      </c>
      <c r="E50" s="30" t="s">
        <v>6</v>
      </c>
      <c r="F50" s="18">
        <f>F15*F12*F11*24*30</f>
        <v>0</v>
      </c>
    </row>
    <row r="51" spans="1:10">
      <c r="E51" s="19" t="s">
        <v>3</v>
      </c>
      <c r="F51" s="69">
        <f>SUM(F48:F50)</f>
        <v>0</v>
      </c>
    </row>
    <row r="53" spans="1:10">
      <c r="D53" s="26" t="s">
        <v>47</v>
      </c>
    </row>
    <row r="54" spans="1:10" ht="30">
      <c r="D54" s="43" t="s">
        <v>16</v>
      </c>
      <c r="E54" s="30" t="s">
        <v>52</v>
      </c>
      <c r="F54" s="51">
        <f>F28-F40</f>
        <v>-55791.651489736862</v>
      </c>
    </row>
    <row r="55" spans="1:10">
      <c r="D55" s="19" t="s">
        <v>23</v>
      </c>
      <c r="E55" s="20" t="s">
        <v>67</v>
      </c>
      <c r="F55" s="18">
        <f>F14*F11</f>
        <v>0</v>
      </c>
      <c r="G55" s="32" t="s">
        <v>24</v>
      </c>
    </row>
    <row r="56" spans="1:10">
      <c r="E56" s="19" t="s">
        <v>8</v>
      </c>
      <c r="F56" s="69">
        <f>SUM(F54:F55)</f>
        <v>-55791.651489736862</v>
      </c>
    </row>
    <row r="58" spans="1:10">
      <c r="D58" s="55" t="s">
        <v>48</v>
      </c>
    </row>
    <row r="59" spans="1:10">
      <c r="D59" s="19" t="s">
        <v>28</v>
      </c>
      <c r="E59" s="20"/>
      <c r="F59" s="33">
        <f>F38+(F56/2)</f>
        <v>222104.17425513157</v>
      </c>
    </row>
    <row r="60" spans="1:10">
      <c r="D60" s="19" t="s">
        <v>29</v>
      </c>
      <c r="E60" s="20" t="s">
        <v>64</v>
      </c>
      <c r="F60" s="34">
        <f>F29</f>
        <v>223349.14999999991</v>
      </c>
    </row>
    <row r="61" spans="1:10">
      <c r="D61" s="19" t="s">
        <v>30</v>
      </c>
      <c r="E61" s="20"/>
      <c r="F61" s="35">
        <f>F39+F56/2</f>
        <v>222104.17425513157</v>
      </c>
      <c r="I61" s="36"/>
      <c r="J61" s="36"/>
    </row>
    <row r="62" spans="1:10" ht="15.75" thickBot="1">
      <c r="A62" s="6"/>
      <c r="B62" s="58"/>
      <c r="C62" s="59"/>
      <c r="D62" s="59"/>
      <c r="E62" s="6"/>
      <c r="F62" s="6"/>
      <c r="G62" s="6"/>
      <c r="H62" s="6"/>
      <c r="I62" s="36"/>
      <c r="J62" s="36"/>
    </row>
    <row r="63" spans="1:10" ht="15.75" thickTop="1">
      <c r="I63" s="36"/>
      <c r="J63" s="36"/>
    </row>
    <row r="64" spans="1:10">
      <c r="D64" s="21" t="s">
        <v>25</v>
      </c>
    </row>
    <row r="65" spans="4:7" ht="18.75">
      <c r="D65" s="40" t="s">
        <v>65</v>
      </c>
      <c r="E65" s="41"/>
      <c r="F65" s="70">
        <f>F27</f>
        <v>1116745.75</v>
      </c>
      <c r="G65" s="7"/>
    </row>
    <row r="66" spans="4:7" ht="18.75">
      <c r="D66" s="54" t="s">
        <v>22</v>
      </c>
      <c r="E66" s="42"/>
      <c r="F66" s="70">
        <f>F28</f>
        <v>893396.60000000009</v>
      </c>
      <c r="G66" s="7"/>
    </row>
    <row r="67" spans="4:7">
      <c r="D67" s="53" t="s">
        <v>33</v>
      </c>
      <c r="E67" s="52" t="s">
        <v>55</v>
      </c>
      <c r="F67" s="84">
        <f>F65-F66</f>
        <v>223349.14999999991</v>
      </c>
    </row>
    <row r="68" spans="4:7">
      <c r="D68" s="60" t="s">
        <v>14</v>
      </c>
      <c r="E68" s="44"/>
      <c r="F68" s="83">
        <f>E9</f>
        <v>11.455799985638521</v>
      </c>
    </row>
    <row r="69" spans="4:7">
      <c r="D69" s="60" t="s">
        <v>13</v>
      </c>
      <c r="E69" s="64" t="s">
        <v>34</v>
      </c>
      <c r="F69" s="61">
        <f>F21</f>
        <v>-0.2</v>
      </c>
    </row>
    <row r="70" spans="4:7">
      <c r="D70" s="63" t="s">
        <v>17</v>
      </c>
      <c r="E70" s="65" t="s">
        <v>56</v>
      </c>
      <c r="F70" s="81">
        <f>F22</f>
        <v>9.1646399885108174</v>
      </c>
    </row>
    <row r="71" spans="4:7">
      <c r="D71" s="25" t="s">
        <v>26</v>
      </c>
      <c r="E71" s="44"/>
      <c r="F71" s="85">
        <f>F44</f>
        <v>9.7369618445240391</v>
      </c>
    </row>
    <row r="72" spans="4:7">
      <c r="D72" s="60" t="s">
        <v>18</v>
      </c>
      <c r="E72" s="62" t="s">
        <v>66</v>
      </c>
      <c r="F72" s="82">
        <f>F23</f>
        <v>4.6078624118024365</v>
      </c>
      <c r="G72" s="32"/>
    </row>
  </sheetData>
  <phoneticPr fontId="9" type="noConversion"/>
  <pageMargins left="0.59055118110236227" right="0.39370078740157483" top="0.39370078740157483" bottom="0.39370078740157483" header="0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2025-09-18T08:57:11Z</cp:lastPrinted>
  <dcterms:created xsi:type="dcterms:W3CDTF">2025-07-09T13:18:12Z</dcterms:created>
  <dcterms:modified xsi:type="dcterms:W3CDTF">2025-10-17T11:20:16Z</dcterms:modified>
</cp:coreProperties>
</file>